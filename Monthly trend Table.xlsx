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 LAPTOP\Downloads\"/>
    </mc:Choice>
  </mc:AlternateContent>
  <bookViews>
    <workbookView xWindow="0" yWindow="0" windowWidth="20490" windowHeight="8190" activeTab="4"/>
  </bookViews>
  <sheets>
    <sheet name="Data 1" sheetId="1" r:id="rId1"/>
    <sheet name="Change LogChange ID" sheetId="2" r:id="rId2"/>
    <sheet name="EDA_Statistics" sheetId="4" r:id="rId3"/>
    <sheet name="Pivot_ProductSales" sheetId="5" r:id="rId4"/>
    <sheet name="Pivot_MonthlyTrend" sheetId="6" r:id="rId5"/>
    <sheet name="Pivot_PaymentMethod" sheetId="7" r:id="rId6"/>
    <sheet name="Pivot_OrderStatus" sheetId="8" r:id="rId7"/>
    <sheet name="Summary" sheetId="9" r:id="rId8"/>
  </sheets>
  <definedNames>
    <definedName name="_xlnm._FilterDatabase" localSheetId="0" hidden="1">'Data 1'!$A$1:$P$1202</definedName>
  </definedNames>
  <calcPr calcId="162913"/>
  <pivotCaches>
    <pivotCache cacheId="14" r:id="rId9"/>
  </pivotCaches>
</workbook>
</file>

<file path=xl/calcChain.xml><?xml version="1.0" encoding="utf-8"?>
<calcChain xmlns="http://schemas.openxmlformats.org/spreadsheetml/2006/main">
  <c r="H6" i="4" l="1"/>
  <c r="H5" i="4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2" i="1"/>
  <c r="H4" i="4"/>
  <c r="H3" i="4"/>
  <c r="H2" i="4"/>
  <c r="E7" i="4"/>
  <c r="D7" i="4"/>
  <c r="C7" i="4"/>
  <c r="B7" i="4"/>
  <c r="E6" i="4"/>
  <c r="E5" i="4"/>
  <c r="E4" i="4"/>
  <c r="D6" i="4"/>
  <c r="D5" i="4"/>
  <c r="D4" i="4"/>
  <c r="C6" i="4"/>
  <c r="B6" i="4"/>
  <c r="C5" i="4"/>
  <c r="B5" i="4"/>
  <c r="C4" i="4"/>
  <c r="E3" i="4"/>
  <c r="D3" i="4"/>
  <c r="C3" i="4"/>
  <c r="B4" i="4"/>
  <c r="B3" i="4"/>
  <c r="E2" i="4"/>
  <c r="D2" i="4"/>
  <c r="C2" i="4"/>
  <c r="B2" i="4"/>
  <c r="L1202" i="1" l="1"/>
</calcChain>
</file>

<file path=xl/sharedStrings.xml><?xml version="1.0" encoding="utf-8"?>
<sst xmlns="http://schemas.openxmlformats.org/spreadsheetml/2006/main" count="10938" uniqueCount="4354">
  <si>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</si>
  <si>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</si>
  <si>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</si>
  <si>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</si>
  <si>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</si>
  <si>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</si>
  <si>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</si>
  <si>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</si>
  <si>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</si>
  <si>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</si>
  <si>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</si>
  <si>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</si>
  <si>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</si>
  <si>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</si>
  <si>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</si>
  <si>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</si>
  <si>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</si>
  <si>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</si>
  <si>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</si>
  <si>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</si>
  <si>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</si>
  <si>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</si>
  <si>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</si>
  <si>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</si>
  <si>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</si>
  <si>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</si>
  <si>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</si>
  <si>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</si>
  <si>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</si>
  <si>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</si>
  <si>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</si>
  <si>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</si>
  <si>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</si>
  <si>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</si>
  <si>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</si>
  <si>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</si>
  <si>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</si>
  <si>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</si>
  <si>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</si>
  <si>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</si>
  <si>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</si>
  <si>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</si>
  <si>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</si>
  <si>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</si>
  <si>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</si>
  <si>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</si>
  <si>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</si>
  <si>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</si>
  <si>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</si>
  <si>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</si>
  <si>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</si>
  <si>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</si>
  <si>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</si>
  <si>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</si>
  <si>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</si>
  <si>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</si>
  <si>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</si>
  <si>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</si>
  <si>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</si>
  <si>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</si>
  <si>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</si>
  <si>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</si>
  <si>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</si>
  <si>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</si>
  <si>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</si>
  <si>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</si>
  <si>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</si>
  <si>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</si>
  <si>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</si>
  <si>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</si>
  <si>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</si>
  <si>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</si>
  <si>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</si>
  <si>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</si>
  <si>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</si>
  <si>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</si>
  <si>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</si>
  <si>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</si>
  <si>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</si>
  <si>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</si>
  <si>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</si>
  <si>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</si>
  <si>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</si>
  <si>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</si>
  <si>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</si>
  <si>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</si>
  <si>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</si>
  <si>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</si>
  <si>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</si>
  <si>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</si>
  <si>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</si>
  <si>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</si>
  <si>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</si>
  <si>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</si>
  <si>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</si>
  <si>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</si>
  <si>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</si>
  <si>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</si>
  <si>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</si>
  <si>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</si>
  <si>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</si>
  <si>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</si>
  <si>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</si>
  <si>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</si>
  <si>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</si>
  <si>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</si>
  <si>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</si>
  <si>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</si>
  <si>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</si>
  <si>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</si>
  <si>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</si>
  <si>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</si>
  <si>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</si>
  <si>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</si>
  <si>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</si>
  <si>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</si>
  <si>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</si>
  <si>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</si>
  <si>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</si>
  <si>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</si>
  <si>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</si>
  <si>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</si>
  <si>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</si>
  <si>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</si>
  <si>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</si>
  <si>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</si>
  <si>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</si>
  <si>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</si>
  <si>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</si>
  <si>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</si>
  <si>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</si>
  <si>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</si>
  <si>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</si>
  <si>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</si>
  <si>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</si>
  <si>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</si>
  <si>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</si>
  <si>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</si>
  <si>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</si>
  <si>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</si>
  <si>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</si>
  <si>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</si>
  <si>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</si>
  <si>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</si>
  <si>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</si>
  <si>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</si>
  <si>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</si>
  <si>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</si>
  <si>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</si>
  <si>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</si>
  <si>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</si>
  <si>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</si>
  <si>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</si>
  <si>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</si>
  <si>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</si>
  <si>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</si>
  <si>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</si>
  <si>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</si>
  <si>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</si>
  <si>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</si>
  <si>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</si>
  <si>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</si>
  <si>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</si>
  <si>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</si>
  <si>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</si>
  <si>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</si>
  <si>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</si>
  <si>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</si>
  <si>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</si>
  <si>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</si>
  <si>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</si>
  <si>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</si>
  <si>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</si>
  <si>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</si>
  <si>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</si>
  <si>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</si>
  <si>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</si>
  <si>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</si>
  <si>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</si>
  <si>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</si>
  <si>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</si>
  <si>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</si>
  <si>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</si>
  <si>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</si>
  <si>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</si>
  <si>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</si>
  <si>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</si>
  <si>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</si>
  <si>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</si>
  <si>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</si>
  <si>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</si>
  <si>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</si>
  <si>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</si>
  <si>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</si>
  <si>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</si>
  <si>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</si>
  <si>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</si>
  <si>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</si>
  <si>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</si>
  <si>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</si>
  <si>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</si>
  <si>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</si>
  <si>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</si>
  <si>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</si>
  <si>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</si>
  <si>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</si>
  <si>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</si>
  <si>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</si>
  <si>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</si>
  <si>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</si>
  <si>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</si>
  <si>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</si>
  <si>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</si>
  <si>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</si>
  <si>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</si>
  <si>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</si>
  <si>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</si>
  <si>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</si>
  <si>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</si>
  <si>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</si>
  <si>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</si>
  <si>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</si>
  <si>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</si>
  <si>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</si>
  <si>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</si>
  <si>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</si>
  <si>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</si>
  <si>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</si>
  <si>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</si>
  <si>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</si>
  <si>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</si>
  <si>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</si>
  <si>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</si>
  <si>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</si>
  <si>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</si>
  <si>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</si>
  <si>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</si>
  <si>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</si>
  <si>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</si>
  <si>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</si>
  <si>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</si>
  <si>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</si>
  <si>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</si>
  <si>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</si>
  <si>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</si>
  <si>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</si>
  <si>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</si>
  <si>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</si>
  <si>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</si>
  <si>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</si>
  <si>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</si>
  <si>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</si>
  <si>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</si>
  <si>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</si>
  <si>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</si>
  <si>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</si>
  <si>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</si>
  <si>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</si>
  <si>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</si>
  <si>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</si>
  <si>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</si>
  <si>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</si>
  <si>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</si>
  <si>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</si>
  <si>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</si>
  <si>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</si>
  <si>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</si>
  <si>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</si>
  <si>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</si>
  <si>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</si>
  <si>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</si>
  <si>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</si>
  <si>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</si>
  <si>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</si>
  <si>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</si>
  <si>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</si>
  <si>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</si>
  <si>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</si>
  <si>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</si>
  <si>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</si>
  <si>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</si>
  <si>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</si>
  <si>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</si>
  <si>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</si>
  <si>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</si>
  <si>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</si>
  <si>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</si>
  <si>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</si>
  <si>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</si>
  <si>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</si>
  <si>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</si>
  <si>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</si>
  <si>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</si>
  <si>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</si>
  <si>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</si>
  <si>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</si>
  <si>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</si>
  <si>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</si>
  <si>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</si>
  <si>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</si>
  <si>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</si>
  <si>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</si>
  <si>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</si>
  <si>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</si>
  <si>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</si>
  <si>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</si>
  <si>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</si>
  <si>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</si>
  <si>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</si>
  <si>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</si>
  <si>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</si>
  <si>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</si>
  <si>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</si>
  <si>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</si>
  <si>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</si>
  <si>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</si>
  <si>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</si>
  <si>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</si>
  <si>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</si>
  <si>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</si>
  <si>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</si>
  <si>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</si>
  <si>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</si>
  <si>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</si>
  <si>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</si>
  <si>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</si>
  <si>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</si>
  <si>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</si>
  <si>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</si>
  <si>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</si>
  <si>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</si>
  <si>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</si>
  <si>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</si>
  <si>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</si>
  <si>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</si>
  <si>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</si>
  <si>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</si>
  <si>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</si>
  <si>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</si>
  <si>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</si>
  <si>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</si>
  <si>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</si>
  <si>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</si>
  <si>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</si>
  <si>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</si>
  <si>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</si>
  <si>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</si>
  <si>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</si>
  <si>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</si>
  <si>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</si>
  <si>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</si>
  <si>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</si>
  <si>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</si>
  <si>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</si>
  <si>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</si>
  <si>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</si>
  <si>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</si>
  <si>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</si>
  <si>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</si>
  <si>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</si>
  <si>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</si>
  <si>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</si>
  <si>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</si>
  <si>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</si>
  <si>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</si>
  <si>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</si>
  <si>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</si>
  <si>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</si>
  <si>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</si>
  <si>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</si>
  <si>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</si>
  <si>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</si>
  <si>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</si>
  <si>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</si>
  <si>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</si>
  <si>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</si>
  <si>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</si>
  <si>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</si>
  <si>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</si>
  <si>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</si>
  <si>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</si>
  <si>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</si>
  <si>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</si>
  <si>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</si>
  <si>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</si>
  <si>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</si>
  <si>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</si>
  <si>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</si>
  <si>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</si>
  <si>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</si>
  <si>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</si>
  <si>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</si>
  <si>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</si>
  <si>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</si>
  <si>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</si>
  <si>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</si>
  <si>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</si>
  <si>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</si>
  <si>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</si>
  <si>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</si>
  <si>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</si>
  <si>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</si>
  <si>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</si>
  <si>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</si>
  <si>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</si>
  <si>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</si>
  <si>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</si>
  <si>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</si>
  <si>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</si>
  <si>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</si>
  <si>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</si>
  <si>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</si>
  <si>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</si>
  <si>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</si>
  <si>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</si>
  <si>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</si>
  <si>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</si>
  <si>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</si>
  <si>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</si>
  <si>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</si>
  <si>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</si>
  <si>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</si>
  <si>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</si>
  <si>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</si>
  <si>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</si>
  <si>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</si>
  <si>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</si>
  <si>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</si>
  <si>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</si>
  <si>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</si>
  <si>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</si>
  <si>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</si>
  <si>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</si>
  <si>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</si>
  <si>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</si>
  <si>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</si>
  <si>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</si>
  <si>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</si>
  <si>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</si>
  <si>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</si>
  <si>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</si>
  <si>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</si>
  <si>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</si>
  <si>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</si>
  <si>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</si>
  <si>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</si>
  <si>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</si>
  <si>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</si>
  <si>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</si>
  <si>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</si>
  <si>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</si>
  <si>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</si>
  <si>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</si>
  <si>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</si>
  <si>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</si>
  <si>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</si>
  <si>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</si>
  <si>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</si>
  <si>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</si>
  <si>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</si>
  <si>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</si>
  <si>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</si>
  <si>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</si>
  <si>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</si>
  <si>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</si>
  <si>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</si>
  <si>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</si>
  <si>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</si>
  <si>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</si>
  <si>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</si>
  <si>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</si>
  <si>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</si>
  <si>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</si>
  <si>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</si>
  <si>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</si>
  <si>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</si>
  <si>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</si>
  <si>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</si>
  <si>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</si>
  <si>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</si>
  <si>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</si>
  <si>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</si>
  <si>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</si>
  <si>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</si>
  <si>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</si>
  <si>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</si>
  <si>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</si>
  <si>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</si>
  <si>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</si>
  <si>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</si>
  <si>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</si>
  <si>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</si>
  <si>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</si>
  <si>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</si>
  <si>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</si>
  <si>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</si>
  <si>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</si>
  <si>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</si>
  <si>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</si>
  <si>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</si>
  <si>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</si>
  <si>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</si>
  <si>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</si>
  <si>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</si>
  <si>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</si>
  <si>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</si>
  <si>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</si>
  <si>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</si>
  <si>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</si>
  <si>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</si>
  <si>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</si>
  <si>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</si>
  <si>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</si>
  <si>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</si>
  <si>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</si>
  <si>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</si>
  <si>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</si>
  <si>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</si>
  <si>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</si>
  <si>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</si>
  <si>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</si>
  <si>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</si>
  <si>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</si>
  <si>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</si>
  <si>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</si>
  <si>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</si>
  <si>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</si>
  <si>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</si>
  <si>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</si>
  <si>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</si>
  <si>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</si>
  <si>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</si>
  <si>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</si>
  <si>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</si>
  <si>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</si>
  <si>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</si>
  <si>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</si>
  <si>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</si>
  <si>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</si>
  <si>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</si>
  <si>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</si>
  <si>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</si>
  <si>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</si>
  <si>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</si>
  <si>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</si>
  <si>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</si>
  <si>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</si>
  <si>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</si>
  <si>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</si>
  <si>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</si>
  <si>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</si>
  <si>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</si>
  <si>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</si>
  <si>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</si>
  <si>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</si>
  <si>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</si>
  <si>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</si>
  <si>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</si>
  <si>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</si>
  <si>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</si>
  <si>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</si>
  <si>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</si>
  <si>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</si>
  <si>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</si>
  <si>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</si>
  <si>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</si>
  <si>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</si>
  <si>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</si>
  <si>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</si>
  <si>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</si>
  <si>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</si>
  <si>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</si>
  <si>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</si>
  <si>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</si>
  <si>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</si>
  <si>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</si>
  <si>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</si>
  <si>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</si>
  <si>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</si>
  <si>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</si>
  <si>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</si>
  <si>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</si>
  <si>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</si>
  <si>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</si>
  <si>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</si>
  <si>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</si>
  <si>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</si>
  <si>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</si>
  <si>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</si>
  <si>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</si>
  <si>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</si>
  <si>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</si>
  <si>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</si>
  <si>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</si>
  <si>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</si>
  <si>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</si>
  <si>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</si>
  <si>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</si>
  <si>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</si>
  <si>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</si>
  <si>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</si>
  <si>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</si>
  <si>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</si>
  <si>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</si>
  <si>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</si>
  <si>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</si>
  <si>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</si>
  <si>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</si>
  <si>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</si>
  <si>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</si>
  <si>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</si>
  <si>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</si>
  <si>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</si>
  <si>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</si>
  <si>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</si>
  <si>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</si>
  <si>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</si>
  <si>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</si>
  <si>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</si>
  <si>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</si>
  <si>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</si>
  <si>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</si>
  <si>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</si>
  <si>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</si>
  <si>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</si>
  <si>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</si>
  <si>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</si>
  <si>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</si>
  <si>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</si>
  <si>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</si>
  <si>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</si>
  <si>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</si>
  <si>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</si>
  <si>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</si>
  <si>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</si>
  <si>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</si>
  <si>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</si>
  <si>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</si>
  <si>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</si>
  <si>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</si>
  <si>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</si>
  <si>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</si>
  <si>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</si>
  <si>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</si>
  <si>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</si>
  <si>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</si>
  <si>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</si>
  <si>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</si>
  <si>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</si>
  <si>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</si>
  <si>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</si>
  <si>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</si>
  <si>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</si>
  <si>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</si>
  <si>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</si>
  <si>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</si>
  <si>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</si>
  <si>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</si>
  <si>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</si>
  <si>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</si>
  <si>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</si>
  <si>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</si>
  <si>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</si>
  <si>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</si>
  <si>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</si>
  <si>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</si>
  <si>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</si>
  <si>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</si>
  <si>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</si>
  <si>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</si>
  <si>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</si>
  <si>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</si>
  <si>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</si>
  <si>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</si>
  <si>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</si>
  <si>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</si>
  <si>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</si>
  <si>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</si>
  <si>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</si>
  <si>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</si>
  <si>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</si>
  <si>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</si>
  <si>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</si>
  <si>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</si>
  <si>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</si>
  <si>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</si>
  <si>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</si>
  <si>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</si>
  <si>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</si>
  <si>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</si>
  <si>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</si>
  <si>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</si>
  <si>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</si>
  <si>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</si>
  <si>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</si>
  <si>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</si>
  <si>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</si>
  <si>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</si>
  <si>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</si>
  <si>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</si>
  <si>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</si>
  <si>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</si>
  <si>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</si>
  <si>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</si>
  <si>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</si>
  <si>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</si>
  <si>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</si>
  <si>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</si>
  <si>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</si>
  <si>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</si>
  <si>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</si>
  <si>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</si>
  <si>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</si>
  <si>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</si>
  <si>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</si>
  <si>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</si>
  <si>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</si>
  <si>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</si>
  <si>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</si>
  <si>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</si>
  <si>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</si>
  <si>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</si>
  <si>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</si>
  <si>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</si>
  <si>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</si>
  <si>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</si>
  <si>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</si>
  <si>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</si>
  <si>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</si>
  <si>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</si>
  <si>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</si>
  <si>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</si>
  <si>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</si>
  <si>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</si>
  <si>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</si>
  <si>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</si>
  <si>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</si>
  <si>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</si>
  <si>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</si>
  <si>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</si>
  <si>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</si>
  <si>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</si>
  <si>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</si>
  <si>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</si>
  <si>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</si>
  <si>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</si>
  <si>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</si>
  <si>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</si>
  <si>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</si>
  <si>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</si>
  <si>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</si>
  <si>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</si>
  <si>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</si>
  <si>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</si>
  <si>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</si>
  <si>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</si>
  <si>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</si>
  <si>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</si>
  <si>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</si>
  <si>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</si>
  <si>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</si>
  <si>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</si>
  <si>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</si>
  <si>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</si>
  <si>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</si>
  <si>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</si>
  <si>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</si>
  <si>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</si>
  <si>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</si>
  <si>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</si>
  <si>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</si>
  <si>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</si>
  <si>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</si>
  <si>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</si>
  <si>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</si>
  <si>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</si>
  <si>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</si>
  <si>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</si>
  <si>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</si>
  <si>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</si>
  <si>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</si>
  <si>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</si>
  <si>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</si>
  <si>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</si>
  <si>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</si>
  <si>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</si>
  <si>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</si>
  <si>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</si>
  <si>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</si>
  <si>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</si>
  <si>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</si>
  <si>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</si>
  <si>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</si>
  <si>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</si>
  <si>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</si>
  <si>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</si>
  <si>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</si>
  <si>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</si>
  <si>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</si>
  <si>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</si>
  <si>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</si>
  <si>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</si>
  <si>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</si>
  <si>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</si>
  <si>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</si>
  <si>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</si>
  <si>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</si>
  <si>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</si>
  <si>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</si>
  <si>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</si>
  <si>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</si>
  <si>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</si>
  <si>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</si>
  <si>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</si>
  <si>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</si>
  <si>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</si>
  <si>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</si>
  <si>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</si>
  <si>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</si>
  <si>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</si>
  <si>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</si>
  <si>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</si>
  <si>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</si>
  <si>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</si>
  <si>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</si>
  <si>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</si>
  <si>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</si>
  <si>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</si>
  <si>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</si>
  <si>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</si>
  <si>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</si>
  <si>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</si>
  <si>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</si>
  <si>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</si>
  <si>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</si>
  <si>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</si>
  <si>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</si>
  <si>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</si>
  <si>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</si>
  <si>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</si>
  <si>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</si>
  <si>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</si>
  <si>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</si>
  <si>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</si>
  <si>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</si>
  <si>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</si>
  <si>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</si>
  <si>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</si>
  <si>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</si>
  <si>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</si>
  <si>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</si>
  <si>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</si>
  <si>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</si>
  <si>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</si>
  <si>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</si>
  <si>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</si>
  <si>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</si>
  <si>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</si>
  <si>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</si>
  <si>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</si>
  <si>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</si>
  <si>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</si>
  <si>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</si>
  <si>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</si>
  <si>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</si>
  <si>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</si>
  <si>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</si>
  <si>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</si>
  <si>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</si>
  <si>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</si>
  <si>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</si>
  <si>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</si>
  <si>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</si>
  <si>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</si>
  <si>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</si>
  <si>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</si>
  <si>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</si>
  <si>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</si>
  <si>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</si>
  <si>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</si>
  <si>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</si>
  <si>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</si>
  <si>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</si>
  <si>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</si>
  <si>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</si>
  <si>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</si>
  <si>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</si>
  <si>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</si>
  <si>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</si>
  <si>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</si>
  <si>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</si>
  <si>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</si>
  <si>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</si>
  <si>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</si>
  <si>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</si>
  <si>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</si>
  <si>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</si>
  <si>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</si>
  <si>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</si>
  <si>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</si>
  <si>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</si>
  <si>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</si>
  <si>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</si>
  <si>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</si>
  <si>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</si>
  <si>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</si>
  <si>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</si>
  <si>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</si>
  <si>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</si>
  <si>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</si>
  <si>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</si>
  <si>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</si>
  <si>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</si>
  <si>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</si>
  <si>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</si>
  <si>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</si>
  <si>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</si>
  <si>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</si>
  <si>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</si>
  <si>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</si>
  <si>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</si>
  <si>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</si>
  <si>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</si>
  <si>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</si>
  <si>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</si>
  <si>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</si>
  <si>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</si>
  <si>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</si>
  <si>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</si>
  <si>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</si>
  <si>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</si>
  <si>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</si>
  <si>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</si>
  <si>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</si>
  <si>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</si>
  <si>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</si>
  <si>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</si>
  <si>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</si>
  <si>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</si>
  <si>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</si>
  <si>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</si>
  <si>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</si>
  <si>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</si>
  <si>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</si>
  <si>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</si>
  <si>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</si>
  <si>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</si>
  <si>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</si>
  <si>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</si>
  <si>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</si>
  <si>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</si>
  <si>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</si>
  <si>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</si>
  <si>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</si>
  <si>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</si>
  <si>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</si>
  <si>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</si>
  <si>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</si>
  <si>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</si>
  <si>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</si>
  <si>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</si>
  <si>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</si>
  <si>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</si>
  <si>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</si>
  <si>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</si>
  <si>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</si>
  <si>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</si>
  <si>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</si>
  <si>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</si>
  <si>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</si>
  <si>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</si>
  <si>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</si>
  <si>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</si>
  <si>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</si>
  <si>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</si>
  <si>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</si>
  <si>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</si>
  <si>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</si>
  <si>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</si>
  <si>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</si>
  <si>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</si>
  <si>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</si>
  <si>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</si>
  <si>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</si>
  <si>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</si>
  <si>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</si>
  <si>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</si>
  <si>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</si>
  <si>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</si>
  <si>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</si>
  <si>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</si>
  <si>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</si>
  <si>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</si>
  <si>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</si>
  <si>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</si>
  <si>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</si>
  <si>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</si>
  <si>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</si>
  <si>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</si>
  <si>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</si>
  <si>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</si>
  <si>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</si>
  <si>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</si>
  <si>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</si>
  <si>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</si>
  <si>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</si>
  <si>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</si>
  <si>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</si>
  <si>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</si>
  <si>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</si>
  <si>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</si>
  <si>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</si>
  <si>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</si>
  <si>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</si>
  <si>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</si>
  <si>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</si>
  <si>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</si>
  <si>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</si>
  <si>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</si>
  <si>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</si>
  <si>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</si>
  <si>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</si>
  <si>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</si>
  <si>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</si>
  <si>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</si>
  <si>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</si>
  <si>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</si>
  <si>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</si>
  <si>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</si>
  <si>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</si>
  <si>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</si>
  <si>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</si>
  <si>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</si>
  <si>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</si>
  <si>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</si>
  <si>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</si>
  <si>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</si>
  <si>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</si>
  <si>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</si>
  <si>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</si>
  <si>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</si>
  <si>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</si>
  <si>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</si>
  <si>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</si>
  <si>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</si>
  <si>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</si>
  <si>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</si>
  <si>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</si>
  <si>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</si>
  <si>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</si>
  <si>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</si>
  <si>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</si>
  <si>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</si>
  <si>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</si>
  <si>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</si>
  <si>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</si>
  <si>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</si>
  <si>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</si>
  <si>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</si>
  <si>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</si>
  <si>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</si>
  <si>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</si>
  <si>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</si>
  <si>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</si>
  <si>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</si>
  <si>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</si>
  <si>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</si>
  <si>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</si>
  <si>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</si>
  <si>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</si>
  <si>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</si>
  <si>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</si>
  <si>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</si>
  <si>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</si>
  <si>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</si>
  <si>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</si>
  <si>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</si>
  <si>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</si>
  <si>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</si>
  <si>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</si>
  <si>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</si>
  <si>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</si>
  <si>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</si>
  <si>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</si>
  <si>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</si>
  <si>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</si>
  <si>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</si>
  <si>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</si>
  <si>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</si>
  <si>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</si>
  <si>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</si>
  <si>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</si>
  <si>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</si>
  <si>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</si>
  <si>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</si>
  <si>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</si>
  <si>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</si>
  <si>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</si>
  <si>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</si>
  <si>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</si>
  <si>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</si>
  <si>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</si>
  <si>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</si>
  <si>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</si>
  <si>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</si>
  <si>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</si>
  <si>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</si>
  <si>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</si>
  <si>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</si>
  <si>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</si>
  <si>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</si>
  <si>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</si>
  <si>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</si>
  <si>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</si>
  <si>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</si>
  <si>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</si>
  <si>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</si>
  <si>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</si>
  <si>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</si>
  <si>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</si>
  <si>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</si>
  <si>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</si>
  <si>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</si>
  <si>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</si>
  <si>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</si>
  <si>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</si>
  <si>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</si>
  <si>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</si>
  <si>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</si>
  <si>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</si>
  <si>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</si>
  <si>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</si>
  <si>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</si>
  <si>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</si>
  <si>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</si>
  <si>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</si>
  <si>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</si>
  <si>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</si>
  <si>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</si>
  <si>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</si>
  <si>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</si>
  <si>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</si>
  <si>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</si>
  <si>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</si>
  <si>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</si>
  <si>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</si>
  <si>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</si>
  <si>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</si>
  <si>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</si>
  <si>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</si>
  <si>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</si>
  <si>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</si>
  <si>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</si>
  <si>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</si>
  <si>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</si>
  <si>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</si>
  <si>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</si>
  <si>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</si>
  <si>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</si>
  <si>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</si>
  <si>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</si>
  <si>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</si>
  <si>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</si>
  <si>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</si>
  <si>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</si>
  <si>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</si>
  <si>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</si>
  <si>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</si>
  <si>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</si>
  <si>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</si>
  <si>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</si>
  <si>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</si>
  <si>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</si>
  <si>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</si>
  <si>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</si>
  <si>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</si>
  <si>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</si>
  <si>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</si>
  <si>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</si>
  <si>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</si>
  <si>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</si>
  <si>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</si>
  <si>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</si>
  <si>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</si>
  <si>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</si>
  <si>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</si>
  <si>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</si>
  <si>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</si>
  <si>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</si>
  <si>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</si>
  <si>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</si>
  <si>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</si>
  <si>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</si>
  <si>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</si>
  <si>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</si>
  <si>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</si>
  <si>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</si>
  <si>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</si>
  <si>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</si>
  <si>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</si>
  <si>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</si>
  <si>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</si>
  <si>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</si>
  <si>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</si>
  <si>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</si>
  <si>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</si>
  <si>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</si>
  <si>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</si>
  <si>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</si>
  <si>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</si>
  <si>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</si>
  <si>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</si>
  <si>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</si>
  <si>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</si>
  <si>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</si>
  <si>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</si>
  <si>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</si>
  <si>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</si>
  <si>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</si>
  <si>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</si>
  <si>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</si>
  <si>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</si>
  <si>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</si>
  <si>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</si>
  <si>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</si>
  <si>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</si>
  <si>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</si>
  <si>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</si>
  <si>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</si>
  <si>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</si>
  <si>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</si>
  <si>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</si>
  <si>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</si>
  <si>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</si>
  <si>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</si>
  <si>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</si>
  <si>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</si>
  <si>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</si>
  <si>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</si>
  <si>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</si>
  <si>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</si>
  <si>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</si>
  <si>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</si>
  <si>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</si>
  <si>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</si>
  <si>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</si>
  <si>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</si>
  <si>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</si>
  <si>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</si>
  <si>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</si>
  <si>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</si>
  <si>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</si>
  <si>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</si>
  <si>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</si>
  <si>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</si>
  <si>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</si>
  <si>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</si>
  <si>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</si>
  <si>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</si>
  <si>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</si>
  <si>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</si>
  <si>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</si>
  <si>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</si>
  <si>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</si>
  <si>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</si>
  <si>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</si>
  <si>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</si>
  <si>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</si>
  <si>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</si>
  <si>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</si>
  <si>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</si>
  <si>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</si>
  <si>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</si>
  <si>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</si>
  <si>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</si>
  <si>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</si>
  <si>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</si>
  <si>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</si>
  <si>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</si>
  <si>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</si>
  <si>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</si>
  <si>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</si>
  <si>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</si>
  <si>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</si>
  <si>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</si>
  <si>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</si>
  <si>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</si>
  <si>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</si>
  <si>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</si>
  <si>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</si>
  <si>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</si>
  <si>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</si>
  <si>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</si>
  <si>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</si>
  <si>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</si>
  <si>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</si>
  <si>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</si>
  <si>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</si>
  <si>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</si>
  <si>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</si>
  <si>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</si>
  <si>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</si>
  <si>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</si>
  <si>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</si>
  <si>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</si>
  <si>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</si>
  <si>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</si>
  <si>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</si>
  <si>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</si>
  <si>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</si>
  <si>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</si>
  <si>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</si>
  <si>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</si>
  <si>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</si>
  <si>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</si>
  <si>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</si>
  <si>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</si>
  <si>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</si>
  <si>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</si>
  <si>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</si>
  <si>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</si>
  <si>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</si>
  <si>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</si>
  <si>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</si>
  <si>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</si>
  <si>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</si>
  <si>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</si>
  <si>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</si>
  <si>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</si>
  <si>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</si>
  <si>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</si>
  <si>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</si>
  <si>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</si>
  <si>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</si>
  <si>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</si>
  <si>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</si>
  <si>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</si>
  <si>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</si>
  <si>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</si>
  <si>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</si>
  <si>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</si>
  <si>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</si>
  <si>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</si>
  <si>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</si>
  <si>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</si>
  <si>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</si>
  <si>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</si>
  <si>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</si>
  <si>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</si>
  <si>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</si>
  <si>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</si>
  <si>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</si>
  <si>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</si>
  <si>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</si>
  <si>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</si>
  <si>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</si>
  <si>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</si>
  <si>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</si>
  <si>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</si>
  <si>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</si>
  <si>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</si>
  <si>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</si>
  <si>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</si>
  <si>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</si>
  <si>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</si>
  <si>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</si>
  <si>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</si>
  <si>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</si>
  <si>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</si>
  <si>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</si>
  <si>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</si>
  <si>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</si>
  <si>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</si>
  <si>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</si>
  <si>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</si>
  <si>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</si>
  <si>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</si>
  <si>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</si>
  <si>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</si>
  <si>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</si>
  <si>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</si>
  <si>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</si>
  <si>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</si>
  <si>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</si>
  <si>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</si>
  <si>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</si>
  <si>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</si>
  <si>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</si>
  <si>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</si>
  <si>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</si>
  <si>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</si>
  <si>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</si>
  <si>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</si>
  <si>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</si>
  <si>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</si>
  <si>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</si>
  <si>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</si>
  <si>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</si>
  <si>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</si>
  <si>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</si>
  <si>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</si>
  <si>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</si>
  <si>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</si>
  <si>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</si>
  <si>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</si>
  <si>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</si>
  <si>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</si>
  <si>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</si>
  <si>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</si>
  <si>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</si>
  <si>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</si>
  <si>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</si>
  <si>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</si>
  <si>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</si>
  <si>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</si>
  <si>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</si>
  <si>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</si>
  <si>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</si>
  <si>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</si>
  <si>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</si>
  <si>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</si>
  <si>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</si>
  <si>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</si>
  <si>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</si>
  <si>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</si>
  <si>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</si>
  <si>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</si>
  <si>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</si>
  <si>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</si>
  <si>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</si>
  <si>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</si>
  <si>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</si>
  <si>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</si>
  <si>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</si>
  <si>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</si>
  <si>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</si>
  <si>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</si>
  <si>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</si>
  <si>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</si>
  <si>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</si>
  <si>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</si>
  <si>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</si>
  <si>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</si>
  <si>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</si>
  <si>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</si>
  <si>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</si>
  <si>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</si>
  <si>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</si>
  <si>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</si>
  <si>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</si>
  <si>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</si>
  <si>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</si>
  <si>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</si>
  <si>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</si>
  <si>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</si>
  <si>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</si>
  <si>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</si>
  <si>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</si>
  <si>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</si>
  <si>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</si>
  <si>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</si>
  <si>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</si>
  <si>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</si>
  <si>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</si>
  <si>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</si>
  <si>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</si>
  <si>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</si>
  <si>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</si>
  <si>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</si>
  <si>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</si>
  <si>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</si>
  <si>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</si>
  <si>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</si>
  <si>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</si>
  <si>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</si>
  <si>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</si>
  <si>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</si>
  <si>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</si>
  <si>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</si>
  <si>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</si>
  <si>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</si>
  <si>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</si>
  <si>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</si>
  <si>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</si>
  <si>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</si>
  <si>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</si>
  <si>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</si>
  <si>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</si>
  <si>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</si>
  <si>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</si>
  <si>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</si>
  <si>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</si>
  <si>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</si>
  <si>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</si>
  <si>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</si>
  <si>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</si>
  <si>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</si>
  <si>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</si>
  <si>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</si>
  <si>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</si>
  <si>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</si>
  <si>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</si>
  <si>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</si>
  <si>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</si>
  <si>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</si>
  <si>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</si>
  <si>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</si>
  <si>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</si>
  <si>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</si>
  <si>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</si>
  <si>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</si>
  <si>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</si>
  <si>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</si>
  <si>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</si>
  <si>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</si>
  <si>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</si>
  <si>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</si>
  <si>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</si>
  <si>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</si>
  <si>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</si>
  <si>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</si>
  <si>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</si>
  <si>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</si>
  <si>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</si>
  <si>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</si>
  <si>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</si>
  <si>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</si>
  <si>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</si>
  <si>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</si>
  <si>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</si>
  <si>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</si>
  <si>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</si>
  <si>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</si>
  <si>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</si>
  <si>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</si>
  <si>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</si>
  <si>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</si>
  <si>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</si>
  <si>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</si>
  <si>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</si>
  <si>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</si>
  <si>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</si>
  <si>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</si>
  <si>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</si>
  <si>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</si>
  <si>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</si>
  <si>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</si>
  <si>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</si>
  <si>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</si>
  <si>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</si>
  <si>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</si>
  <si>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</si>
  <si>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</si>
  <si>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</si>
  <si>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</si>
  <si>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</si>
  <si>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</si>
  <si>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</si>
  <si>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</si>
  <si>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</si>
  <si>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</si>
  <si>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</si>
  <si>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</si>
  <si>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</si>
  <si>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</si>
  <si>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</si>
  <si>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</si>
  <si>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</si>
  <si>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</si>
  <si>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</si>
  <si>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</si>
  <si>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</si>
  <si>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</si>
  <si>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</si>
  <si>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</si>
  <si>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</si>
  <si>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</si>
  <si>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</si>
  <si>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</si>
  <si>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</si>
  <si>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</si>
  <si>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</si>
  <si>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</si>
  <si>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</si>
  <si>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</si>
  <si>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</si>
  <si>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</si>
  <si>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</si>
  <si>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</si>
  <si>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</si>
  <si>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</si>
  <si>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</si>
  <si>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</si>
  <si>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</si>
  <si>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</si>
  <si>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</si>
  <si>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</si>
  <si>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</si>
  <si>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</si>
  <si>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</si>
  <si>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</si>
  <si>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</si>
  <si>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</si>
  <si>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</si>
  <si>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</si>
  <si>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</si>
  <si>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</si>
  <si>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</si>
  <si>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</si>
  <si>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</si>
  <si>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</si>
  <si>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</si>
  <si>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</si>
  <si>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</si>
  <si>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</si>
  <si>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</si>
  <si>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</si>
  <si>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</si>
  <si>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</si>
  <si>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</si>
  <si>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</si>
  <si>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</si>
  <si>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</si>
  <si>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</si>
  <si>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</si>
  <si>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</si>
  <si>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</si>
  <si>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</si>
  <si>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</si>
  <si>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</si>
  <si>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</si>
  <si>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</si>
  <si>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</si>
  <si>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</si>
  <si>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</si>
  <si>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</si>
  <si>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</si>
  <si>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</si>
  <si>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</si>
  <si>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</si>
  <si>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</si>
  <si>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</si>
  <si>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</si>
  <si>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</si>
  <si>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</si>
  <si>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</si>
  <si>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</si>
  <si>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</si>
  <si>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</si>
  <si>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</si>
  <si>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</si>
  <si>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</si>
  <si>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</si>
  <si>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</si>
  <si>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</si>
  <si>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</si>
  <si>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</si>
  <si>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</si>
  <si>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</si>
  <si>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</si>
  <si>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</si>
  <si>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</si>
  <si>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</si>
  <si>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</si>
  <si>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</si>
  <si>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</si>
  <si>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</si>
  <si>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</si>
  <si>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</si>
  <si>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</si>
  <si>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</si>
  <si>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</si>
  <si>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</si>
  <si>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</si>
  <si>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</si>
  <si>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</si>
  <si>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</si>
  <si>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</si>
  <si>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</si>
  <si>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</si>
  <si>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</si>
  <si>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</si>
  <si>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</si>
  <si>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</si>
  <si>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</si>
  <si>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</si>
  <si>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</si>
  <si>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</si>
  <si>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</si>
  <si>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</si>
  <si>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</si>
  <si>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</si>
  <si>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</si>
  <si>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</si>
  <si>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</si>
  <si>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</si>
  <si>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</si>
  <si>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</si>
  <si>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</si>
  <si>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</si>
  <si>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</si>
  <si>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</si>
  <si>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</si>
  <si>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</si>
  <si>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</si>
  <si>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</si>
  <si>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</si>
  <si>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</si>
  <si>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</si>
  <si>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</si>
  <si>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</si>
  <si>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</si>
  <si>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</si>
  <si>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</si>
  <si>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</si>
  <si>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</si>
  <si>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</si>
  <si>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</si>
  <si>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</si>
  <si>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</si>
  <si>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</si>
  <si>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</si>
  <si>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</si>
  <si>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</si>
  <si>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</si>
  <si>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</si>
  <si>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</si>
  <si>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</si>
  <si>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</si>
  <si>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</si>
  <si>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</si>
  <si>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</si>
  <si>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</si>
  <si>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</si>
  <si>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</si>
  <si>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</si>
  <si>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</si>
  <si>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</si>
  <si>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</si>
  <si>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</si>
  <si>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</si>
  <si>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</si>
  <si>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</si>
  <si>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</si>
  <si>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</si>
  <si>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</si>
  <si>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</si>
  <si>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</si>
  <si>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</si>
  <si>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</si>
  <si>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</si>
  <si>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</si>
  <si>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</si>
  <si>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</si>
  <si>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</si>
  <si>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</si>
  <si>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</si>
  <si>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</si>
  <si>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</si>
  <si>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</si>
  <si>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</si>
  <si>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</si>
  <si>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</si>
  <si>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</si>
  <si>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</si>
  <si>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</si>
  <si>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</si>
  <si>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</si>
  <si>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</si>
  <si>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</si>
  <si>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</si>
  <si>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</si>
  <si>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</si>
  <si>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</si>
  <si>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</si>
  <si>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</si>
  <si>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</si>
  <si>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</si>
  <si>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</si>
  <si>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</si>
  <si>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</si>
  <si>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</si>
  <si>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</si>
  <si>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</si>
  <si>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</si>
  <si>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</si>
  <si>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</si>
  <si>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</si>
  <si>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</si>
  <si>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</si>
  <si>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</si>
  <si>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</si>
  <si>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</si>
  <si>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</si>
  <si>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</si>
  <si>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</si>
  <si>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</si>
  <si>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</si>
  <si>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</si>
  <si>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</si>
  <si>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</si>
  <si>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</si>
  <si>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</si>
  <si>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</si>
  <si>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</si>
  <si>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</si>
  <si>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</si>
  <si>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</si>
  <si>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</si>
  <si>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</si>
  <si>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</si>
  <si>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</si>
  <si>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</si>
  <si>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</si>
  <si>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</si>
  <si>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</si>
  <si>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</si>
  <si>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</si>
  <si>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</si>
  <si>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</si>
  <si>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</si>
  <si>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</si>
  <si>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</si>
  <si>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</si>
  <si>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</si>
  <si>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</si>
  <si>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</si>
  <si>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</si>
  <si>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</si>
  <si>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</si>
  <si>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</si>
  <si>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</si>
  <si>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</si>
  <si>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</si>
  <si>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</si>
  <si>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</si>
  <si>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</si>
  <si>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</si>
  <si>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</si>
  <si>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</si>
  <si>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</si>
  <si>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</si>
  <si>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</si>
  <si>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</si>
  <si>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</si>
  <si>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</si>
  <si>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</si>
  <si>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</si>
  <si>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</si>
  <si>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</si>
  <si>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</si>
  <si>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</si>
  <si>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</si>
  <si>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</si>
  <si>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</si>
  <si>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</si>
  <si>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</si>
  <si>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</si>
  <si>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</si>
  <si>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</si>
  <si>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</si>
  <si>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</si>
  <si>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</si>
  <si>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</si>
  <si>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</si>
  <si>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</si>
  <si>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</si>
  <si>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</si>
  <si>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</si>
  <si>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</si>
  <si>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</si>
  <si>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</si>
  <si>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</si>
  <si>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</si>
  <si>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</si>
  <si>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</si>
  <si>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</si>
  <si>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</si>
  <si>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</si>
  <si>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</si>
  <si>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</si>
  <si>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</si>
  <si>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</si>
  <si>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</si>
  <si>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</si>
  <si>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</si>
  <si>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</si>
  <si>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</si>
  <si>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</si>
  <si>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</si>
  <si>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</si>
  <si>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</si>
  <si>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</si>
  <si>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</si>
  <si>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</si>
  <si>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</si>
  <si>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</si>
  <si>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</si>
  <si>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</si>
  <si>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</si>
  <si>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</si>
  <si>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</si>
  <si>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</si>
  <si>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</si>
  <si>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</si>
  <si>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</si>
  <si>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</si>
  <si>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</si>
  <si>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</si>
  <si>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</si>
  <si>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</si>
  <si>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</si>
  <si>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</si>
  <si>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</si>
  <si>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</si>
  <si>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</si>
  <si>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</si>
  <si>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</si>
  <si>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</si>
  <si>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</si>
  <si>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</si>
  <si>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</si>
  <si>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</si>
  <si>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</si>
  <si>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</si>
  <si>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</si>
  <si>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</si>
  <si>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</si>
  <si>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</si>
  <si>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</si>
  <si>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</si>
  <si>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</si>
  <si>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</si>
  <si>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</si>
  <si>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</si>
  <si>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</si>
  <si>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</si>
  <si>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</si>
  <si>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</si>
  <si>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</si>
  <si>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</si>
  <si>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</si>
  <si>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</si>
  <si>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</si>
  <si>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</si>
  <si>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</si>
  <si>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</si>
  <si>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</si>
  <si>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</si>
  <si>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</si>
  <si>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</si>
  <si>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</si>
  <si>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</si>
  <si>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</si>
  <si>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</si>
  <si>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</si>
  <si>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</si>
  <si>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</si>
  <si>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</si>
  <si>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</si>
  <si>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</si>
  <si>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</si>
  <si>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</si>
  <si>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</si>
  <si>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</si>
  <si>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</si>
  <si>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</si>
  <si>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</si>
  <si>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</si>
  <si>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</si>
  <si>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</si>
  <si>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</si>
  <si>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</si>
  <si>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</si>
  <si>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</si>
  <si>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</si>
  <si>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</si>
  <si>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</si>
  <si>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</si>
  <si>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</si>
  <si>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</si>
  <si>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</si>
  <si>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</si>
  <si>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</si>
  <si>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</si>
  <si>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</si>
  <si>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</si>
  <si>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</si>
  <si>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</si>
  <si>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</si>
  <si>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</si>
  <si>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</si>
  <si>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</si>
  <si>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</si>
  <si>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</si>
  <si>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</si>
  <si>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</si>
  <si>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</si>
  <si>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</si>
  <si>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</si>
  <si>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</si>
  <si>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</si>
  <si>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</si>
  <si>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</si>
  <si>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</si>
  <si>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</si>
  <si>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</si>
  <si>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</si>
  <si>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</si>
  <si>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</si>
  <si>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</si>
  <si>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</si>
  <si>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</si>
  <si>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</si>
  <si>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</si>
  <si>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</si>
  <si>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</si>
  <si>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</si>
  <si>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</si>
  <si>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</si>
  <si>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</si>
  <si>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</si>
  <si>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</si>
  <si>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</si>
  <si>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</si>
  <si>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</si>
  <si>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</si>
  <si>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</si>
  <si>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</si>
  <si>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</si>
  <si>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</si>
  <si>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</si>
  <si>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</si>
  <si>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</si>
  <si>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</si>
  <si>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</si>
  <si>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</si>
  <si>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</si>
  <si>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</si>
  <si>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</si>
  <si>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</si>
  <si>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</si>
  <si>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</si>
  <si>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</si>
  <si>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</si>
  <si>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</si>
  <si>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</si>
  <si>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</si>
  <si>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</si>
  <si>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</si>
  <si>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</si>
  <si>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</si>
  <si>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</si>
  <si>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</si>
  <si>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</si>
  <si>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</si>
  <si>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</si>
  <si>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</si>
  <si>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</si>
  <si>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</si>
  <si>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</si>
  <si>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</si>
  <si>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</si>
  <si>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</si>
  <si>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</si>
  <si>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</si>
  <si>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</si>
  <si>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</si>
  <si>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</si>
  <si>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</si>
  <si>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</si>
  <si>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</si>
  <si>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</si>
  <si>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</si>
  <si>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</si>
  <si>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</si>
  <si>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</si>
  <si>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</si>
  <si>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</si>
  <si>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</si>
  <si>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</si>
  <si>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</si>
  <si>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</si>
  <si>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</si>
  <si>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</si>
  <si>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</si>
  <si>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</si>
  <si>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</si>
  <si>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</si>
  <si>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</si>
  <si>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</si>
  <si>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</si>
  <si>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</si>
  <si>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</si>
  <si>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</si>
  <si>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</si>
  <si>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</si>
  <si>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</si>
  <si>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</si>
  <si>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</si>
  <si>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</si>
  <si>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</si>
  <si>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</si>
  <si>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</si>
  <si>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</si>
  <si>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</si>
  <si>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</si>
  <si>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</si>
  <si>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</si>
  <si>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</si>
  <si>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</si>
  <si>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</si>
  <si>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</si>
  <si>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</si>
  <si>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</si>
  <si>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</si>
  <si>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</si>
  <si>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</si>
  <si>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</si>
  <si>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</si>
  <si>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</si>
  <si>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</si>
  <si>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</si>
  <si>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</si>
  <si>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</si>
  <si>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</si>
  <si>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</si>
  <si>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</si>
  <si>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</si>
  <si>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</si>
  <si>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</si>
  <si>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</si>
  <si>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</si>
  <si>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</si>
  <si>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</si>
  <si>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</si>
  <si>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</si>
  <si>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</si>
  <si>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</si>
  <si>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</si>
  <si>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</si>
  <si>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</si>
  <si>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</si>
  <si>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</si>
  <si>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</si>
  <si>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</si>
  <si>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</si>
  <si>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</si>
  <si>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</si>
  <si>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</si>
  <si>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</si>
  <si>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</si>
  <si>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</si>
  <si>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</si>
  <si>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</si>
  <si>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</si>
  <si>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</si>
  <si>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</si>
  <si>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</si>
  <si>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</si>
  <si>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</si>
  <si>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</si>
  <si>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</si>
  <si>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</si>
  <si>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</si>
  <si>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</si>
  <si>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</si>
  <si>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</si>
  <si>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</si>
  <si>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</si>
  <si>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</si>
  <si>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</si>
  <si>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</si>
  <si>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</si>
  <si>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</si>
  <si>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</si>
  <si>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</si>
  <si>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</si>
  <si>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</si>
  <si>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</si>
  <si>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</si>
  <si>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</si>
  <si>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</si>
  <si>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</si>
  <si>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</si>
  <si>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</si>
  <si>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</si>
  <si>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</si>
  <si>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</si>
  <si>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</si>
  <si>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</si>
  <si>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</si>
  <si>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</si>
  <si>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</si>
  <si>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</si>
  <si>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</si>
  <si>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</si>
  <si>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</si>
  <si>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</si>
  <si>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</si>
  <si>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</si>
  <si>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</si>
  <si>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</si>
  <si>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</si>
  <si>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</si>
  <si>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</si>
  <si>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</si>
  <si>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</si>
  <si>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</si>
  <si>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</si>
  <si>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</si>
  <si>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</si>
  <si>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</si>
  <si>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</si>
  <si>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</si>
  <si>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</si>
  <si>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</si>
  <si>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</si>
  <si>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</si>
  <si>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</si>
  <si>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</si>
  <si>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</si>
  <si>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</si>
  <si>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</si>
  <si>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</si>
  <si>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</si>
  <si>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</si>
  <si>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</si>
  <si>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</si>
  <si>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</si>
  <si>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</si>
  <si>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</si>
  <si>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</si>
  <si>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</si>
  <si>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</si>
  <si>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</si>
  <si>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</si>
  <si>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</si>
  <si>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</si>
  <si>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</si>
  <si>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</si>
  <si>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</si>
  <si>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</si>
  <si>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</si>
  <si>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</si>
  <si>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</si>
  <si>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</si>
  <si>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</si>
  <si>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</si>
  <si>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</si>
  <si>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</si>
  <si>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</si>
  <si>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</si>
  <si>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</si>
  <si>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</si>
  <si>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</si>
  <si>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</si>
  <si>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</si>
  <si>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</si>
  <si>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</si>
  <si>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</si>
  <si>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</si>
  <si>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</si>
  <si>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</si>
  <si>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</si>
  <si>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</si>
  <si>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</si>
  <si>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</si>
  <si>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</si>
  <si>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</si>
  <si>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</si>
  <si>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</si>
  <si>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</si>
  <si>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</si>
  <si>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</si>
  <si>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</si>
  <si>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</si>
  <si>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</si>
  <si>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</si>
  <si>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</si>
  <si>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</si>
  <si>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</si>
  <si>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</si>
  <si>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</si>
  <si>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</si>
  <si>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</si>
  <si>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</si>
  <si>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</si>
  <si>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</si>
  <si>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</si>
  <si>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</si>
  <si>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</si>
  <si>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</si>
  <si>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</si>
  <si>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</si>
  <si>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</si>
  <si>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</si>
  <si>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</si>
  <si>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</si>
  <si>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</si>
  <si>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</si>
  <si>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</si>
  <si>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</si>
  <si>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</si>
  <si>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</si>
  <si>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</si>
  <si>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</si>
  <si>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</si>
  <si>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</si>
  <si>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</si>
  <si>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</si>
  <si>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</si>
  <si>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</si>
  <si>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</si>
  <si>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</si>
  <si>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</si>
  <si>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</si>
  <si>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</si>
  <si>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</si>
  <si>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</si>
  <si>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</si>
  <si>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</si>
  <si>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</si>
  <si>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</si>
  <si>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</si>
  <si>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</si>
  <si>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</si>
  <si>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</si>
  <si>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</si>
  <si>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</si>
  <si>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</si>
  <si>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</si>
  <si>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</si>
  <si>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</si>
  <si>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</si>
  <si>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</si>
  <si>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</si>
  <si>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</si>
  <si>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</si>
  <si>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</si>
  <si>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</si>
  <si>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</si>
  <si>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</si>
  <si>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</si>
  <si>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</si>
  <si>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</si>
  <si>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</si>
  <si>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</si>
  <si>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</si>
  <si>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</si>
  <si>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</si>
  <si>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</si>
  <si>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</si>
  <si>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</si>
  <si>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</si>
  <si>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</si>
  <si>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</si>
  <si>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</si>
  <si>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</si>
  <si>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</si>
  <si>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</si>
  <si>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</si>
  <si>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</si>
  <si>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</si>
  <si>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</si>
  <si>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</si>
  <si>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</si>
  <si>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</si>
  <si>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</si>
  <si>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</si>
  <si>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</si>
  <si>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</si>
  <si>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</si>
  <si>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</si>
  <si>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</si>
  <si>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</si>
  <si>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</si>
  <si>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</si>
  <si>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</si>
  <si>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</si>
  <si>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</si>
  <si>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</si>
  <si>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</si>
  <si>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</si>
  <si>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</si>
  <si>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</si>
  <si>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</si>
  <si>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</si>
  <si>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</si>
  <si>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</si>
  <si>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</si>
  <si>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</si>
  <si>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</si>
  <si>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</si>
  <si>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</si>
  <si>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</si>
  <si>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</si>
  <si>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</si>
  <si>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</si>
  <si>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</si>
  <si>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</si>
  <si>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</si>
  <si>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</si>
  <si>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</si>
  <si>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</si>
  <si>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</si>
  <si>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</si>
  <si>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</si>
  <si>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</si>
  <si>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</si>
  <si>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</si>
  <si>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</si>
  <si>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</si>
  <si>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</si>
  <si>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</si>
  <si>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</si>
  <si>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</si>
  <si>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</si>
  <si>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</si>
  <si>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</si>
  <si>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</si>
  <si>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</si>
  <si>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</si>
  <si>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</si>
  <si>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</si>
  <si>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</si>
  <si>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</si>
  <si>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</si>
  <si>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</si>
  <si>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</si>
  <si>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</si>
  <si>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</si>
  <si>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</si>
  <si>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</si>
  <si>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</si>
  <si>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</si>
  <si>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</si>
  <si>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</si>
  <si>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</si>
  <si>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</si>
  <si>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</si>
  <si>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</si>
  <si>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</si>
  <si>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</si>
  <si>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</si>
  <si>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</si>
  <si>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</si>
  <si>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</si>
  <si>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</si>
  <si>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</si>
  <si>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</si>
  <si>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</si>
  <si>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</si>
  <si>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</si>
  <si>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</si>
  <si>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</si>
  <si>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</si>
  <si>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</si>
  <si>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</si>
  <si>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</si>
  <si>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</si>
  <si>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</si>
  <si>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</si>
  <si>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</si>
  <si>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</si>
  <si>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</si>
  <si>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</si>
  <si>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</si>
  <si>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</si>
  <si>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</si>
  <si>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</si>
  <si>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</si>
  <si>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</si>
  <si>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</si>
  <si>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</si>
  <si>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</si>
  <si>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</si>
  <si>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</si>
  <si>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</si>
  <si>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</si>
  <si>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</si>
  <si>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</si>
  <si>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</si>
  <si>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</si>
  <si>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</si>
  <si>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</si>
  <si>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</si>
  <si>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</si>
  <si>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</si>
  <si>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</si>
  <si>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</si>
  <si>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</si>
  <si>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</si>
  <si>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</si>
  <si>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</si>
  <si>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</si>
  <si>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</si>
  <si>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</si>
  <si>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</si>
  <si>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</si>
  <si>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</si>
  <si>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</si>
  <si>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</si>
  <si>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</si>
  <si>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</si>
  <si>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</si>
  <si>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</si>
  <si>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</si>
  <si>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</si>
  <si>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</si>
  <si>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</si>
  <si>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</si>
  <si>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</si>
  <si>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</si>
  <si>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</si>
  <si>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</si>
  <si>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</si>
  <si>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</si>
  <si>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</si>
  <si>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</si>
  <si>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</si>
  <si>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</si>
  <si>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</si>
  <si>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</si>
  <si>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</si>
  <si>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</si>
  <si>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</si>
  <si>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</si>
  <si>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</si>
  <si>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</si>
  <si>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</si>
  <si>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</si>
  <si>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</si>
  <si>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</si>
  <si>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</si>
  <si>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</si>
  <si>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</si>
  <si>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</si>
  <si>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</si>
  <si>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</si>
  <si>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</si>
  <si>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</si>
  <si>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</si>
  <si>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</si>
  <si>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</si>
  <si>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</si>
  <si>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</si>
  <si>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</si>
  <si>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</si>
  <si>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</si>
  <si>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</si>
  <si>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</si>
  <si>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</si>
  <si>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</si>
  <si>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</si>
  <si>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</si>
  <si>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</si>
  <si>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</si>
  <si>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</si>
  <si>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</si>
  <si>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</si>
  <si>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</si>
  <si>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</si>
  <si>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</si>
  <si>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</si>
  <si>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</si>
  <si>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</si>
  <si>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</si>
  <si>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</si>
  <si>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</si>
  <si>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</si>
  <si>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</si>
  <si>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</si>
  <si>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</si>
  <si>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</si>
  <si>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</si>
  <si>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</si>
  <si>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</si>
  <si>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</si>
  <si>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</si>
  <si>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</si>
  <si>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</si>
  <si>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</si>
  <si>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</si>
  <si>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</si>
  <si>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</si>
  <si>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</si>
  <si>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</si>
  <si>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</si>
  <si>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</si>
  <si>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</si>
  <si>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</si>
  <si>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</si>
  <si>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</si>
  <si>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</si>
  <si>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</si>
  <si>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</si>
  <si>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</si>
  <si>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</si>
  <si>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</si>
  <si>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</si>
  <si>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</si>
  <si>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</si>
  <si>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</si>
  <si>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</si>
  <si>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</si>
  <si>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</si>
  <si>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</si>
  <si>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</si>
  <si>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</si>
  <si>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</si>
  <si>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</si>
  <si>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</si>
  <si>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</si>
  <si>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</si>
  <si>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</si>
  <si>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</si>
  <si>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</si>
  <si>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</si>
  <si>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</si>
  <si>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</si>
  <si>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</si>
  <si>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</si>
  <si>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</si>
  <si>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</si>
  <si>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</si>
  <si>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</si>
  <si>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</si>
  <si>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</si>
  <si>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</si>
  <si>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</si>
  <si>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</si>
  <si>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</si>
  <si>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</si>
  <si>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</si>
  <si>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</si>
  <si>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</si>
  <si>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</si>
  <si>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</si>
  <si>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</si>
  <si>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</si>
  <si>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</si>
  <si>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</si>
  <si>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</si>
  <si>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</si>
  <si>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</si>
  <si>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</si>
  <si>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</si>
  <si>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</si>
  <si>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</si>
  <si>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</si>
  <si>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</si>
  <si>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</si>
  <si>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</si>
  <si>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</si>
  <si>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</si>
  <si>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</si>
  <si>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</si>
  <si>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</si>
  <si>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</si>
  <si>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</si>
  <si>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</si>
  <si>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</si>
  <si>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</si>
  <si>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</si>
  <si>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</si>
  <si>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</si>
  <si>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</si>
  <si>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</si>
  <si>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</si>
  <si>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</si>
  <si>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</si>
  <si>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</si>
  <si>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</si>
  <si>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</si>
  <si>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</si>
  <si>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</si>
  <si>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</si>
  <si>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</si>
  <si>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</si>
  <si>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</si>
  <si>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</si>
  <si>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</si>
  <si>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</si>
  <si>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</si>
  <si>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</si>
  <si>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</si>
  <si>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</si>
  <si>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</si>
  <si>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</si>
  <si>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</si>
  <si>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</si>
  <si>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</si>
  <si>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</si>
  <si>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</si>
  <si>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</si>
  <si>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</si>
  <si>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</si>
  <si>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</si>
  <si>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</si>
  <si>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</si>
  <si>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</si>
  <si>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</si>
  <si>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</si>
  <si>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</si>
  <si>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</si>
  <si>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</si>
  <si>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</si>
  <si>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</si>
  <si>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</si>
  <si>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</si>
  <si>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</si>
  <si>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</si>
  <si>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</si>
  <si>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</si>
  <si>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</si>
  <si>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</si>
  <si>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</si>
  <si>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</si>
  <si>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</si>
  <si>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</si>
  <si>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</si>
  <si>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</si>
  <si>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</si>
  <si>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</si>
  <si>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</si>
  <si>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</si>
  <si>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</si>
  <si>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</si>
  <si>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</si>
  <si>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</si>
  <si>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</si>
  <si>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</si>
  <si>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</si>
  <si>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</si>
  <si>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</si>
  <si>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</si>
  <si>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</si>
  <si>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</si>
  <si>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</si>
  <si>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</si>
  <si>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</si>
  <si>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</si>
  <si>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</si>
  <si>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</si>
  <si>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</si>
  <si>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</si>
  <si>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</si>
  <si>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</si>
  <si>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</si>
  <si>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</si>
  <si>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</si>
  <si>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</si>
  <si>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</si>
  <si>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</si>
  <si>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</si>
  <si>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</si>
  <si>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</si>
  <si>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</si>
  <si>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</si>
  <si>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</si>
  <si>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</si>
  <si>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</si>
  <si>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</si>
  <si>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</si>
  <si>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</si>
  <si>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</si>
  <si>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</si>
  <si>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</si>
  <si>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</si>
  <si>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</si>
  <si>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</si>
  <si>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</si>
  <si>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</si>
  <si>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</si>
  <si>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</si>
  <si>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</si>
  <si>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</si>
  <si>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</si>
  <si>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</si>
  <si>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</si>
  <si>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</si>
  <si>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</si>
  <si>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</si>
  <si>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</si>
  <si>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</si>
  <si>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</si>
  <si>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</si>
  <si>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</si>
  <si>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</si>
  <si>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</si>
  <si>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</si>
  <si>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</si>
  <si>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</si>
  <si>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</si>
  <si>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</si>
  <si>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</si>
  <si>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</si>
  <si>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</si>
  <si>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</si>
  <si>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</si>
  <si>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</si>
  <si>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</si>
  <si>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</si>
  <si>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</si>
  <si>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</si>
  <si>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</si>
  <si>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</si>
  <si>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</si>
  <si>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</si>
  <si>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</si>
  <si>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</si>
  <si>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</si>
  <si>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</si>
  <si>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</si>
  <si>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</si>
  <si>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</si>
  <si>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</si>
  <si>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</si>
  <si>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</si>
  <si>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</si>
  <si>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</si>
  <si>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</si>
  <si>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</si>
  <si>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</si>
  <si>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</si>
  <si>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</si>
  <si>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</si>
  <si>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</si>
  <si>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</si>
  <si>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</si>
  <si>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</si>
  <si>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</si>
  <si>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</si>
  <si>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</si>
  <si>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</si>
  <si>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</si>
  <si>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</si>
  <si>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</si>
  <si>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</si>
  <si>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</si>
  <si>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</si>
  <si>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</si>
  <si>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</si>
  <si>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</si>
  <si>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</si>
  <si>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</si>
  <si>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</si>
  <si>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</si>
  <si>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</si>
  <si>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</si>
  <si>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</si>
  <si>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</si>
  <si>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</si>
  <si>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</si>
  <si>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</si>
  <si>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</si>
  <si>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</si>
  <si>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</si>
  <si>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</si>
  <si>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</si>
  <si>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</si>
  <si>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</si>
  <si>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</si>
  <si>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</si>
  <si>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</si>
  <si>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</si>
  <si>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</si>
  <si>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</si>
  <si>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</si>
  <si>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</si>
  <si>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</si>
  <si>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</si>
  <si>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</si>
  <si>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</si>
  <si>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</si>
  <si>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</si>
  <si>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</si>
  <si>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</si>
  <si>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</si>
  <si>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</si>
  <si>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</si>
  <si>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</si>
  <si>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</si>
  <si>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</si>
  <si>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</si>
  <si>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</si>
  <si>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</si>
  <si>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</si>
  <si>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</si>
  <si>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</si>
  <si>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</si>
  <si>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</si>
  <si>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</si>
  <si>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</si>
  <si>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</si>
  <si>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</si>
  <si>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</si>
  <si>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</si>
  <si>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</si>
  <si>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</si>
  <si>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</si>
  <si>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</si>
  <si>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</si>
  <si>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</si>
  <si>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</si>
  <si>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</si>
  <si>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</si>
  <si>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</si>
  <si>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</si>
  <si>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</si>
  <si>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</si>
  <si>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</si>
  <si>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</si>
  <si>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</si>
  <si>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</si>
  <si>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</si>
  <si>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</si>
  <si>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</si>
  <si>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</si>
  <si>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</si>
  <si>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</si>
  <si>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</si>
  <si>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</si>
  <si>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</si>
  <si>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</si>
  <si>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</si>
  <si>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</si>
  <si>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</si>
  <si>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</si>
  <si>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</si>
  <si>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</si>
  <si>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</si>
  <si>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</si>
  <si>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</si>
  <si>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</si>
  <si>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</si>
  <si>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</si>
  <si>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</si>
  <si>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</si>
  <si>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</si>
  <si>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</si>
  <si>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</si>
  <si>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</si>
  <si>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</si>
  <si>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</si>
  <si>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</si>
  <si>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</si>
  <si>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</si>
  <si>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</si>
  <si>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</si>
  <si>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</si>
  <si>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</si>
  <si>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</si>
  <si>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</si>
  <si>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</si>
  <si>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</si>
  <si>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</si>
  <si>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</si>
  <si>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</si>
  <si>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</si>
  <si>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</si>
  <si>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</si>
  <si>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</si>
  <si>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</si>
  <si>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</si>
  <si>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</si>
  <si>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</si>
  <si>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</si>
  <si>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</si>
  <si>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</si>
  <si>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</si>
  <si>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</si>
  <si>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</si>
  <si>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</si>
  <si>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</si>
  <si>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</si>
  <si>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</si>
  <si>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</si>
  <si>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</si>
  <si>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</si>
  <si>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</si>
  <si>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</si>
  <si>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</si>
  <si>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</si>
  <si>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</si>
  <si>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</si>
  <si>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</si>
  <si>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</si>
  <si>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</si>
  <si>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</si>
  <si>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</si>
  <si>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</si>
  <si>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</si>
  <si>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</si>
  <si>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</si>
  <si>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</si>
  <si>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</si>
  <si>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</si>
  <si>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</si>
  <si>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</si>
  <si>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</si>
  <si>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</si>
  <si>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</si>
  <si>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</si>
  <si>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</si>
  <si>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</si>
  <si>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</si>
  <si>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</si>
  <si>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</si>
  <si>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</si>
  <si>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</si>
  <si>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</si>
  <si>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</si>
  <si>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</si>
  <si>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</si>
  <si>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</si>
  <si>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</si>
  <si>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</si>
  <si>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</si>
  <si>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</si>
  <si>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</si>
  <si>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</si>
  <si>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</si>
  <si>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</si>
  <si>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</si>
  <si>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</si>
  <si>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</si>
  <si>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</si>
  <si>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</si>
  <si>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</si>
  <si>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</si>
  <si>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</si>
  <si>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</si>
  <si>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</si>
  <si>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</si>
  <si>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</si>
  <si>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</si>
  <si>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</si>
  <si>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</si>
  <si>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</si>
  <si>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</si>
  <si>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</si>
  <si>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</si>
  <si>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</si>
  <si>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</si>
  <si>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</si>
  <si>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</si>
  <si>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</si>
  <si>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</si>
  <si>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</si>
  <si>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</si>
  <si>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</si>
  <si>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</si>
  <si>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</si>
  <si>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</si>
  <si>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</si>
  <si>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</si>
  <si>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</si>
  <si>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</si>
  <si>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</si>
  <si>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</si>
  <si>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</si>
  <si>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</si>
  <si>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</si>
  <si>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</si>
  <si>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</si>
  <si>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</si>
  <si>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</si>
  <si>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</si>
  <si>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</si>
  <si>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</si>
  <si>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</si>
  <si>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</si>
  <si>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</si>
  <si>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</si>
  <si>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</si>
  <si>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</si>
  <si>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</si>
  <si>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</si>
  <si>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</si>
  <si>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</si>
  <si>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</si>
  <si>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</si>
  <si>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</si>
  <si>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</si>
  <si>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</si>
  <si>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</si>
  <si>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</si>
  <si>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</si>
  <si>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</si>
  <si>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</si>
  <si>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</si>
  <si>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</si>
  <si>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</si>
  <si>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</si>
  <si>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</si>
  <si>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</si>
  <si>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</si>
  <si>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</si>
  <si>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</si>
  <si>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</si>
  <si>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</si>
  <si>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</si>
  <si>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</si>
  <si>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</si>
  <si>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</si>
  <si>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</si>
  <si>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</si>
  <si>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</si>
  <si>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</si>
  <si>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</si>
  <si>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</si>
  <si>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</si>
  <si>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</si>
  <si>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</si>
  <si>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</si>
  <si>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</si>
  <si>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</si>
  <si>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</si>
  <si>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</si>
  <si>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</si>
  <si>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</si>
  <si>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</si>
  <si>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</si>
  <si>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</si>
  <si>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</si>
  <si>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</si>
  <si>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</si>
  <si>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</si>
  <si>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</si>
  <si>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</si>
  <si>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</si>
  <si>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</si>
  <si>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</si>
  <si>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</si>
  <si>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</si>
  <si>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</si>
  <si>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</si>
  <si>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</si>
  <si>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</si>
  <si>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</si>
  <si>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</si>
  <si>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</si>
  <si>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</si>
  <si>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</si>
  <si>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</si>
  <si>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</si>
  <si>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</si>
  <si>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</si>
  <si>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</si>
  <si>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</si>
  <si>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</si>
  <si>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</si>
  <si>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</si>
  <si>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</si>
  <si>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</si>
  <si>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</si>
  <si>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</si>
  <si>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</si>
  <si>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</si>
  <si>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</si>
  <si>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</si>
  <si>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</si>
  <si>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</si>
  <si>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</si>
  <si>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</si>
  <si>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</si>
  <si>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</si>
  <si>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</si>
  <si>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</si>
  <si>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</si>
  <si>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</si>
  <si>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</si>
  <si>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</si>
  <si>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</si>
  <si>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</si>
  <si>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</si>
  <si>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</si>
  <si>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</si>
  <si>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</si>
  <si>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</si>
  <si>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</si>
  <si>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</si>
  <si>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</si>
  <si>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</si>
  <si>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</si>
  <si>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</si>
  <si>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</si>
  <si>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</si>
  <si>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</si>
  <si>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</si>
  <si>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</si>
  <si>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</si>
  <si>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</si>
  <si>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</si>
  <si>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</si>
  <si>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</si>
  <si>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</si>
  <si>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</si>
  <si>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</si>
  <si>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</si>
  <si>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</si>
  <si>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</si>
  <si>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</si>
  <si>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</si>
  <si>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</si>
  <si>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</si>
  <si>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</si>
  <si>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</si>
  <si>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</si>
  <si>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</si>
  <si>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</si>
  <si>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</si>
  <si>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</si>
  <si>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</si>
  <si>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</si>
  <si>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</si>
  <si>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</si>
  <si>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</si>
  <si>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</si>
  <si>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</si>
  <si>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</si>
  <si>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</si>
  <si>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</si>
  <si>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</si>
  <si>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</si>
  <si>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</si>
  <si>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</si>
  <si>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</si>
  <si>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</si>
  <si>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</si>
  <si>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</si>
  <si>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</si>
  <si>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</si>
  <si>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</si>
  <si>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</si>
  <si>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</si>
  <si>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</si>
  <si>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</si>
  <si>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</si>
  <si>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</si>
  <si>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</si>
  <si>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</si>
  <si>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</si>
  <si>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</si>
  <si>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</si>
  <si>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</si>
  <si>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</si>
  <si>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</si>
  <si>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</si>
  <si>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</si>
  <si>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</si>
  <si>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</si>
  <si>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</si>
  <si>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</si>
  <si>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</si>
  <si>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</si>
  <si>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</si>
  <si>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</si>
  <si>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</si>
  <si>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</si>
  <si>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</si>
  <si>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</si>
  <si>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</si>
  <si>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</si>
  <si>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</si>
  <si>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</si>
  <si>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</si>
  <si>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</si>
  <si>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</si>
  <si>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</si>
  <si>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</si>
  <si>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</si>
  <si>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</si>
  <si>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</si>
  <si>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</si>
  <si>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</si>
  <si>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</si>
  <si>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</si>
  <si>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</si>
  <si>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</si>
  <si>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</si>
  <si>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</si>
  <si>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</si>
  <si>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</si>
  <si>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</si>
  <si>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</si>
  <si>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</si>
  <si>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</si>
  <si>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</si>
  <si>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</si>
  <si>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</si>
  <si>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</si>
  <si>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</si>
  <si>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</si>
  <si>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</si>
  <si>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</si>
  <si>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</si>
  <si>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</si>
  <si>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</si>
  <si>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</si>
  <si>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</si>
  <si>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</si>
  <si>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</si>
  <si>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</si>
  <si>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</si>
  <si>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</si>
  <si>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</si>
  <si>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</si>
  <si>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</si>
  <si>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</si>
  <si>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</si>
  <si>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</si>
  <si>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</si>
  <si>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</si>
  <si>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</si>
  <si>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</si>
  <si>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</si>
  <si>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</si>
  <si>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</si>
  <si>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</si>
  <si>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</si>
  <si>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</si>
  <si>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</si>
  <si>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</si>
  <si>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</si>
  <si>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</si>
  <si>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</si>
  <si>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</si>
  <si>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</si>
  <si>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</si>
  <si>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</si>
  <si>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</si>
  <si>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</si>
  <si>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</si>
  <si>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</si>
  <si>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</si>
  <si>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</si>
  <si>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</si>
  <si>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</si>
  <si>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</si>
  <si>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</si>
  <si>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</si>
  <si>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</si>
  <si>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</si>
  <si>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</si>
  <si>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</si>
  <si>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</si>
  <si>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</si>
  <si>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</si>
  <si>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</si>
  <si>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</si>
  <si>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</si>
  <si>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</si>
  <si>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</si>
  <si>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</si>
  <si>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</si>
  <si>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</si>
  <si>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</si>
  <si>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</si>
  <si>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</si>
  <si>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</si>
  <si>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</si>
  <si>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</si>
  <si>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</si>
  <si>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</si>
  <si>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</si>
  <si>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</si>
  <si>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</si>
  <si>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</si>
  <si>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</si>
  <si>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</si>
  <si>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</si>
  <si>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</si>
  <si>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</si>
  <si>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</si>
  <si>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</si>
  <si>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</si>
  <si>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</si>
  <si>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</si>
  <si>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</si>
  <si>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</si>
  <si>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</si>
  <si>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</si>
  <si>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</si>
  <si>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</si>
  <si>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</si>
  <si>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</si>
  <si>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</si>
  <si>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</si>
  <si>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</si>
  <si>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</si>
  <si>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</si>
  <si>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</si>
  <si>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</si>
  <si>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</si>
  <si>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</si>
  <si>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</si>
  <si>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</si>
  <si>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</si>
  <si>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</si>
  <si>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</si>
  <si>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</si>
  <si>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</si>
  <si>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</si>
  <si>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</si>
  <si>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</si>
  <si>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</si>
  <si>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</si>
  <si>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</si>
  <si>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</si>
  <si>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</si>
  <si>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</si>
  <si>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</si>
  <si>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</si>
  <si>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</si>
  <si>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</si>
  <si>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</si>
  <si>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</si>
  <si>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</si>
  <si>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</si>
  <si>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</si>
  <si>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</si>
  <si>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</si>
  <si>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</si>
  <si>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</si>
  <si>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</si>
  <si>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</si>
  <si>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</si>
  <si>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</si>
  <si>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</si>
  <si>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</si>
  <si>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</si>
  <si>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</si>
  <si>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</si>
  <si>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</si>
  <si>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</si>
  <si>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</si>
  <si>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</si>
  <si>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</si>
  <si>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</si>
  <si>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</si>
  <si>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</si>
  <si>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</si>
  <si>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</si>
  <si>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</si>
  <si>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</si>
  <si>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</si>
  <si>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</si>
  <si>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</si>
  <si>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</si>
  <si>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</si>
  <si>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</si>
  <si>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</si>
  <si>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</si>
  <si>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</si>
  <si>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</si>
  <si>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</si>
  <si>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</si>
  <si>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</si>
  <si>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</si>
  <si>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</si>
  <si>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</si>
  <si>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</si>
  <si>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</si>
  <si>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</si>
  <si>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</si>
  <si>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</si>
  <si>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</si>
  <si>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</si>
  <si>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</si>
  <si>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</si>
  <si>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</si>
  <si>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</si>
  <si>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</si>
  <si>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</si>
  <si>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</si>
  <si>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</si>
  <si>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</si>
  <si>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</si>
  <si>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</si>
  <si>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</si>
  <si>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</si>
  <si>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</si>
  <si>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</si>
  <si>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</si>
  <si>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</si>
  <si>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</si>
  <si>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</si>
  <si>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</si>
  <si>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</si>
  <si>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</si>
  <si>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</si>
  <si>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</si>
  <si>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</si>
  <si>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</si>
  <si>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</si>
  <si>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</si>
  <si>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</si>
  <si>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</si>
  <si>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</si>
  <si>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</si>
  <si>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</si>
  <si>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</si>
  <si>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</si>
  <si>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</si>
  <si>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</si>
  <si>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</si>
  <si>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</si>
  <si>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</si>
  <si>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</si>
  <si>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</si>
  <si>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</si>
  <si>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</si>
  <si>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</si>
  <si>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</si>
  <si>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</si>
  <si>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</si>
  <si>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</si>
  <si>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</si>
  <si>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</si>
  <si>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</si>
  <si>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</si>
  <si>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</si>
  <si>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</si>
  <si>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</si>
  <si>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</si>
  <si>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</si>
  <si>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</si>
  <si>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</si>
  <si>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</si>
  <si>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</si>
  <si>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</si>
  <si>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</si>
  <si>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</si>
  <si>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</si>
  <si>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</si>
  <si>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</si>
  <si>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</si>
  <si>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</si>
  <si>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</si>
  <si>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</si>
  <si>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</si>
  <si>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</si>
  <si>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</si>
  <si>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</si>
  <si>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</si>
  <si>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</si>
  <si>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</si>
  <si>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</si>
  <si>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</si>
  <si>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</si>
  <si>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</si>
  <si>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</si>
  <si>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</si>
  <si>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</si>
  <si>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</si>
  <si>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</si>
  <si>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</si>
  <si>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</si>
  <si>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</si>
  <si>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</si>
  <si>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</si>
  <si>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</si>
  <si>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</si>
  <si>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</si>
  <si>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</si>
  <si>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</si>
  <si>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</si>
  <si>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</si>
  <si>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</si>
  <si>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</si>
  <si>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</si>
  <si>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</si>
  <si>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</si>
  <si>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</si>
  <si>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</si>
  <si>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</si>
  <si>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</si>
  <si>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</si>
  <si>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</si>
  <si>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</si>
  <si>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</si>
  <si>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</si>
  <si>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</si>
  <si>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</si>
  <si>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</si>
  <si>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</si>
  <si>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</si>
  <si>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</si>
  <si>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</si>
  <si>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</si>
  <si>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</si>
  <si>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</si>
  <si>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</si>
  <si>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</si>
  <si>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</si>
  <si>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</si>
  <si>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</si>
  <si>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</si>
  <si>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</si>
  <si>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</si>
  <si>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</si>
  <si>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</si>
  <si>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</si>
  <si>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</si>
  <si>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</si>
  <si>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</si>
  <si>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</si>
  <si>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</si>
  <si>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</si>
  <si>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</si>
  <si>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</si>
  <si>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</si>
  <si>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</si>
  <si>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</si>
  <si>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</si>
  <si>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</si>
  <si>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</si>
  <si>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</si>
  <si>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</si>
  <si>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</si>
  <si>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</si>
  <si>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</si>
  <si>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</si>
  <si>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</si>
  <si>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</si>
  <si>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</si>
  <si>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</si>
  <si>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</si>
  <si>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</si>
  <si>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</si>
  <si>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</si>
  <si>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</si>
  <si>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</si>
  <si>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</si>
  <si>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</si>
  <si>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</si>
  <si>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</si>
  <si>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</si>
  <si>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</si>
  <si>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</si>
  <si>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</si>
  <si>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</si>
  <si>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</si>
  <si>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</si>
  <si>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</si>
  <si>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</si>
  <si>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</si>
  <si>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</si>
  <si>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</si>
  <si>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</si>
  <si>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</si>
  <si>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</si>
  <si>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</si>
  <si>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</si>
  <si>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</si>
  <si>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</si>
  <si>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</si>
  <si>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</si>
  <si>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</si>
  <si>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</si>
  <si>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</si>
  <si>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</si>
  <si>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</si>
  <si>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</si>
  <si>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</si>
  <si>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</si>
  <si>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</si>
  <si>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</si>
  <si>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</si>
  <si>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</si>
  <si>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</si>
  <si>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</si>
  <si>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</si>
  <si>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</si>
  <si>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</si>
  <si>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</si>
  <si>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</si>
  <si>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</si>
  <si>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</si>
  <si>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</si>
  <si>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</si>
  <si>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</si>
  <si>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</si>
  <si>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</si>
  <si>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</si>
  <si>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</si>
  <si>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</si>
  <si>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</si>
  <si>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</si>
  <si>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</si>
  <si>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</si>
  <si>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</si>
  <si>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</si>
  <si>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</si>
  <si>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</si>
  <si>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</si>
  <si>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</si>
  <si>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</si>
  <si>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</si>
  <si>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</si>
  <si>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</si>
  <si>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</si>
  <si>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</si>
  <si>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</si>
  <si>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</si>
  <si>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</si>
  <si>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</si>
  <si>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</si>
  <si>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</si>
  <si>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</si>
  <si>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</si>
  <si>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</si>
  <si>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</si>
  <si>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</si>
  <si>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</si>
  <si>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</si>
  <si>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</si>
  <si>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</si>
  <si>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</si>
  <si>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</si>
  <si>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</si>
  <si>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</si>
  <si>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</si>
  <si>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</si>
  <si>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</si>
  <si>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</si>
  <si>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</si>
  <si>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</si>
  <si>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</si>
  <si>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</si>
  <si>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</si>
  <si>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</si>
  <si>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</si>
  <si>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</si>
  <si>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</si>
  <si>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</si>
  <si>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</si>
  <si>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</si>
  <si>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</si>
  <si>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</si>
  <si>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</si>
  <si>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</si>
  <si>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</si>
  <si>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</si>
  <si>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</si>
  <si>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</si>
  <si>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</si>
  <si>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</si>
  <si>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</si>
  <si>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</si>
  <si>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</si>
  <si>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</si>
  <si>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</si>
  <si>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</si>
  <si>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</si>
  <si>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</si>
  <si>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</si>
  <si>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</si>
  <si>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</si>
  <si>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</si>
  <si>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</si>
  <si>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</si>
  <si>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</si>
  <si>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</si>
  <si>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</si>
  <si>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</si>
  <si>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</si>
  <si>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</si>
  <si>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</si>
  <si>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</si>
  <si>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</si>
  <si>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</si>
  <si>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</si>
  <si>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</si>
  <si>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</si>
  <si>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</si>
  <si>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</si>
  <si>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</si>
  <si>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</si>
  <si>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</si>
  <si>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</si>
  <si>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</si>
  <si>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</si>
  <si>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</si>
  <si>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</si>
  <si>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</si>
  <si>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</si>
  <si>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</si>
  <si>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</si>
  <si>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</si>
  <si>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</si>
  <si>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</si>
  <si>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</si>
  <si>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</si>
  <si>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</si>
  <si>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</si>
  <si>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</si>
  <si>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</si>
  <si>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</si>
  <si>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</si>
  <si>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</si>
  <si>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</si>
  <si>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</si>
  <si>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</si>
  <si>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</si>
  <si>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</si>
  <si>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</si>
  <si>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</si>
  <si>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</si>
  <si>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</si>
  <si>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</si>
  <si>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</si>
  <si>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</si>
  <si>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</si>
  <si>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</si>
  <si>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</si>
  <si>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</si>
  <si>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</si>
  <si>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</si>
  <si>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</si>
  <si>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</si>
  <si>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</si>
  <si>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</si>
  <si>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</si>
  <si>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</si>
  <si>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</si>
  <si>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</si>
  <si>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</si>
  <si>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</si>
  <si>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</si>
  <si>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</si>
  <si>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</si>
  <si>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</si>
  <si>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</si>
  <si>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</si>
  <si>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</si>
  <si>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</si>
  <si>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</si>
  <si>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</si>
  <si>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</si>
  <si>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</si>
  <si>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</si>
  <si>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</si>
  <si>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</si>
  <si>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</si>
  <si>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</si>
  <si>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</si>
  <si>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</si>
  <si>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</si>
  <si>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</si>
  <si>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</si>
  <si>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</si>
  <si>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</si>
  <si>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</si>
  <si>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</si>
  <si>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</si>
  <si>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</si>
  <si>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</si>
  <si>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</si>
  <si>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</si>
  <si>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</si>
  <si>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</si>
  <si>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</si>
  <si>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</si>
  <si>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</si>
  <si>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</si>
  <si>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</si>
  <si>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</si>
  <si>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</si>
  <si>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</si>
  <si>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</si>
  <si>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</si>
  <si>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</si>
  <si>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</si>
  <si>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</si>
  <si>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</si>
  <si>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</si>
  <si>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</si>
  <si>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</si>
  <si>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</si>
  <si>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</si>
  <si>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</si>
  <si>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</si>
  <si>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</si>
  <si>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</si>
  <si>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</si>
  <si>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</si>
  <si>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</si>
  <si>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</si>
  <si>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</si>
  <si>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</si>
  <si>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</si>
  <si>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</si>
  <si>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</si>
  <si>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</si>
  <si>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</si>
  <si>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</si>
  <si>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</si>
  <si>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</si>
  <si>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</si>
  <si>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</si>
  <si>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</si>
  <si>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</si>
  <si>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</si>
  <si>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</si>
  <si>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</si>
  <si>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</si>
  <si>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</si>
  <si>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</si>
  <si>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</si>
  <si>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</si>
  <si>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</si>
  <si>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</si>
  <si>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</si>
  <si>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</si>
  <si>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</si>
  <si>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</si>
  <si>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</si>
  <si>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</si>
  <si>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</si>
  <si>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</si>
  <si>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</si>
  <si>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</si>
  <si>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</si>
  <si>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</si>
  <si>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</si>
  <si>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</si>
  <si>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</si>
  <si>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</si>
  <si>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</si>
  <si>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</si>
  <si>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</si>
  <si>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</si>
  <si>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</si>
  <si>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</si>
  <si>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</si>
  <si>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</si>
  <si>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</si>
  <si>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</si>
  <si>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</si>
  <si>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</si>
  <si>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</si>
  <si>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</si>
  <si>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</si>
  <si>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</si>
  <si>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</si>
  <si>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</si>
  <si>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</si>
  <si>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</si>
  <si>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</si>
  <si>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</si>
  <si>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</si>
  <si>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</si>
  <si>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</si>
  <si>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</si>
  <si>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</si>
  <si>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</si>
  <si>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</si>
  <si>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</si>
  <si>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</si>
  <si>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</si>
  <si>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</si>
  <si>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</si>
  <si>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</si>
  <si>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</si>
  <si>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</si>
  <si>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</si>
  <si>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</si>
  <si>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</si>
  <si>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</si>
  <si>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</si>
  <si>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</si>
  <si>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</si>
  <si>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</si>
  <si>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</si>
  <si>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</si>
  <si>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</si>
  <si>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</si>
  <si>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</si>
  <si>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</si>
  <si>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</si>
  <si>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</si>
  <si>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</si>
  <si>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</si>
  <si>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</si>
  <si>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</si>
  <si>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</si>
  <si>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</si>
  <si>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</si>
  <si>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</si>
  <si>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</si>
  <si>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</si>
  <si>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</si>
  <si>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</si>
  <si>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</si>
  <si>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</si>
  <si>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</si>
  <si>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</si>
  <si>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</si>
  <si>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</si>
  <si>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</si>
  <si>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</si>
  <si>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</si>
  <si>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</si>
  <si>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</si>
  <si>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</si>
  <si>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</si>
  <si>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</si>
  <si>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</si>
  <si>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</si>
  <si>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</si>
  <si>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</si>
  <si>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</si>
  <si>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</si>
  <si>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</si>
  <si>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</si>
  <si>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</si>
  <si>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</si>
  <si>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</si>
  <si>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</si>
  <si>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</si>
  <si>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</si>
  <si>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</si>
  <si>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</si>
  <si>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</si>
  <si>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</si>
  <si>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</si>
  <si>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</si>
  <si>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</si>
  <si>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</si>
  <si>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</si>
  <si>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</si>
  <si>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</si>
  <si>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</si>
  <si>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</si>
  <si>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</si>
  <si>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</si>
  <si>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</si>
  <si>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</si>
  <si>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</si>
  <si>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</si>
  <si>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</si>
  <si>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</si>
  <si>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</si>
  <si>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</si>
  <si>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</si>
  <si>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</si>
  <si>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</si>
  <si>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</si>
  <si>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</si>
  <si>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</si>
  <si>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</si>
  <si>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</si>
  <si>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</si>
  <si>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</si>
  <si>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</si>
  <si>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</si>
  <si>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</si>
  <si>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</si>
  <si>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</si>
  <si>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</si>
  <si>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</si>
  <si>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</si>
  <si>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</si>
  <si>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</si>
  <si>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</si>
  <si>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</si>
  <si>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</si>
  <si>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</si>
  <si>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</si>
  <si>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</si>
  <si>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</si>
  <si>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</si>
  <si>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</si>
  <si>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</si>
  <si>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</si>
  <si>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</si>
  <si>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</si>
  <si>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</si>
  <si>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</si>
  <si>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</si>
  <si>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</si>
  <si>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</si>
  <si>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</si>
  <si>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</si>
  <si>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</si>
  <si>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</si>
  <si>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</si>
  <si>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</si>
  <si>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</si>
  <si>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</si>
  <si>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</si>
  <si>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</si>
  <si>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</si>
  <si>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</si>
  <si>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</si>
  <si>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</si>
  <si>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</si>
  <si>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</si>
  <si>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</si>
  <si>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</si>
  <si>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</si>
  <si>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</si>
  <si>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</si>
  <si>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</si>
  <si>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</si>
  <si>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</si>
  <si>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</si>
  <si>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</si>
  <si>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</si>
  <si>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</si>
  <si>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</si>
  <si>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</si>
  <si>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</si>
  <si>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</si>
  <si>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</si>
  <si>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</si>
  <si>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</si>
  <si>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</si>
  <si>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</si>
  <si>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</si>
  <si>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</si>
  <si>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</si>
  <si>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</si>
  <si>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</si>
  <si>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</si>
  <si>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</si>
  <si>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</si>
  <si>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</si>
  <si>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</si>
  <si>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</si>
  <si>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</si>
  <si>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</si>
  <si>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</si>
  <si>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</si>
  <si>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</si>
  <si>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</si>
  <si>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</si>
  <si>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</si>
  <si>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</si>
  <si>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</si>
  <si>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</si>
  <si>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</si>
  <si>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</si>
  <si>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</si>
  <si>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</si>
  <si>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</si>
  <si>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</si>
  <si>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</si>
  <si>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</si>
  <si>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</si>
  <si>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</si>
  <si>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</si>
  <si>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</si>
  <si>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</si>
  <si>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</si>
  <si>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</si>
  <si>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</si>
  <si>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</si>
  <si>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</si>
  <si>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</si>
  <si>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</si>
  <si>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</si>
  <si>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</si>
  <si>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</si>
  <si>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</si>
  <si>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</si>
  <si>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</si>
  <si>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</si>
  <si>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</si>
  <si>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</si>
  <si>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</si>
  <si>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</si>
  <si>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</si>
  <si>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</si>
  <si>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</si>
  <si>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</si>
  <si>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</si>
  <si>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</si>
  <si>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</si>
  <si>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</si>
  <si>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</si>
  <si>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</si>
  <si>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</si>
  <si>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</si>
  <si>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</si>
  <si>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</si>
  <si>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</si>
  <si>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</si>
  <si>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</si>
  <si>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</si>
  <si>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</si>
  <si>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</si>
  <si>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</si>
  <si>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</si>
  <si>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</si>
  <si>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</si>
  <si>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</si>
  <si>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</si>
  <si>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</si>
  <si>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</si>
  <si>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</si>
  <si>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</si>
  <si>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</si>
  <si>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</si>
  <si>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</si>
  <si>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</si>
  <si>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</si>
  <si>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</si>
  <si>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</si>
  <si>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</si>
  <si>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</si>
  <si>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</si>
  <si>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</si>
  <si>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</si>
  <si>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</si>
  <si>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</si>
  <si>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</si>
  <si>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</si>
  <si>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</si>
  <si>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</si>
  <si>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</si>
  <si>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</si>
  <si>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</si>
  <si>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</si>
  <si>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</si>
  <si>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</si>
  <si>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</si>
  <si>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</si>
  <si>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</si>
  <si>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</si>
  <si>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</si>
  <si>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</si>
  <si>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</si>
  <si>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</si>
  <si>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</si>
  <si>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</si>
  <si>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</si>
  <si>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</si>
  <si>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</si>
  <si>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</si>
  <si>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</si>
  <si>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</si>
  <si>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</si>
  <si>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</si>
  <si>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</si>
  <si>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</si>
  <si>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</si>
  <si>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</si>
  <si>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</si>
  <si>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</si>
  <si>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</si>
  <si>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</si>
  <si>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</si>
  <si>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</si>
  <si>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</si>
  <si>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</si>
  <si>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</si>
  <si>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</si>
  <si>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</si>
  <si>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</si>
  <si>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</si>
  <si>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</si>
  <si>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</si>
  <si>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</si>
  <si>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</si>
  <si>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</si>
  <si>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</si>
  <si>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</si>
  <si>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</si>
  <si>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</si>
  <si>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</si>
  <si>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</si>
  <si>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</si>
  <si>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</si>
  <si>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</si>
  <si>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</si>
  <si>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</si>
  <si>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</si>
  <si>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</si>
  <si>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</si>
  <si>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Change ID</t>
  </si>
  <si>
    <t>Description</t>
  </si>
  <si>
    <t>Impact</t>
  </si>
  <si>
    <t>Status</t>
  </si>
  <si>
    <t>CR001</t>
  </si>
  <si>
    <t>CR002</t>
  </si>
  <si>
    <t>CR003</t>
  </si>
  <si>
    <t>CR004</t>
  </si>
  <si>
    <t>CR005</t>
  </si>
  <si>
    <t>Missing values in CouponCode column filled with "No Coupon"</t>
  </si>
  <si>
    <t>Checked for duplicate OrderIDs using Remove Duplicates</t>
  </si>
  <si>
    <t>Verified date format consistency across Date column</t>
  </si>
  <si>
    <t>Verified TotalPrice = Quantity × UnitPrice for all rows</t>
  </si>
  <si>
    <t xml:space="preserve"> Checked text columns (Product, PaymentMethod, OrderStatus, ReferralSource) for spelling/case inconsistencies</t>
  </si>
  <si>
    <t>309 records updated — preserved data integrity instead of deleting rows</t>
  </si>
  <si>
    <t>0 duplicates found — dataset was already unique</t>
  </si>
  <si>
    <t>All dates confirmed in consistent format</t>
  </si>
  <si>
    <t>0 mismatches found — all calculations accurate</t>
  </si>
  <si>
    <t>No inconsistencies found</t>
  </si>
  <si>
    <t>Verified</t>
  </si>
  <si>
    <t>Resolved</t>
  </si>
  <si>
    <t>Std Dev</t>
  </si>
  <si>
    <t>Min</t>
  </si>
  <si>
    <t>Upper Bound</t>
  </si>
  <si>
    <t>Max</t>
  </si>
  <si>
    <t>Lower Bound</t>
  </si>
  <si>
    <t>Count</t>
  </si>
  <si>
    <t>IQR</t>
  </si>
  <si>
    <t>Median</t>
  </si>
  <si>
    <t>Q3</t>
  </si>
  <si>
    <t>Mean</t>
  </si>
  <si>
    <t>Q1</t>
  </si>
  <si>
    <t>Metric</t>
  </si>
  <si>
    <t>Outlier_Check</t>
  </si>
  <si>
    <t>Row Labels</t>
  </si>
  <si>
    <t>(blank)</t>
  </si>
  <si>
    <t>Grand Total</t>
  </si>
  <si>
    <t>Sum of TotalPrice</t>
  </si>
  <si>
    <t>Count of OrderID</t>
  </si>
  <si>
    <t>&lt;1/1/2023</t>
  </si>
  <si>
    <t>2023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</si>
  <si>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</si>
  <si>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</si>
  <si>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</si>
  <si>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</si>
  <si>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</si>
  <si>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</si>
  <si>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</si>
  <si>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</si>
  <si>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</si>
  <si>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</si>
  <si>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</si>
  <si>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</si>
  <si>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2024</t>
  </si>
  <si>
    <t>2025</t>
  </si>
  <si>
    <t>Sales are fairly evenly distributed across products and payment methods, but the high Cancelled/Returned rate and a handful of high-value outliers are actionable insights that warrant further investigation.</t>
  </si>
  <si>
    <t>Overall Conclusion</t>
  </si>
  <si>
    <t>Using the IQR method (Q1=$410.52, Q3=$1,578.48), 8 outlier orders were identified with TotalPrice above $3,330. These may represent bulk purchases or data entry anomalies and should be manually reviewed.</t>
  </si>
  <si>
    <t>6. Outliers</t>
  </si>
  <si>
    <t>Cancelled orders are the most common (250), followed by Returned (247), Pending (237), Shipped (235), and Delivered (231 — least). The combined Cancelled/Returned count (497, ~41% of all orders) is a significant concern worth further business investigation.</t>
  </si>
  <si>
    <t>5. Order Status Breakdown</t>
  </si>
  <si>
    <t>Online payment is the most popular method (258 orders), followed by Cash (246), Credit Card (234), Debit Card (232), and Gift Card (230 — least used). Usage is fairly balanced across all payment methods.</t>
  </si>
  <si>
    <t>4. Payment Method Preference</t>
  </si>
  <si>
    <t>June 2024 recorded the highest sales ($68,068.54), while April 2023 recorded the lowest ($27,751.71). Sales fluctuate month to month without a clear seasonal pattern, suggesting external factors (promotions, demand) drive sales more than seasonality.</t>
  </si>
  <si>
    <t>3. Monthly Sales Trend</t>
  </si>
  <si>
    <t>Chair generates the highest revenue ($195,620.11), closely followed by Printer ($195,612.61), which also has the highest order count (181 orders). Phone generates the lowest revenue ($151,722.39), showing clear variation in product performance.</t>
  </si>
  <si>
    <t>2. Best-Selling Products</t>
  </si>
  <si>
    <t>Average (Mean) order value is $1,053.97, while the Median is $823.62. The Mean is noticeably higher than the Median, indicating a right-skewed distribution — most orders are below average, but a few high-value orders pull the average upward.</t>
  </si>
  <si>
    <t>1. Order Value Distribution</t>
  </si>
  <si>
    <t>Project 2: Exploratory Data Analysis (EDA) — Key 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</si>
</sst>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sz val="11"/>
      <name val="Calibri"/>
    </font>
    <font>
      <b/>
      <sz val="14"/>
      <color rgb="FF1F4E7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0" fontId="2" fillId="0" borderId="0" xfId="0" applyFon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0" fillId="0" borderId="0" xfId="0" applyNumberFormat="1"/>
    <xf numFmtId="0" fontId="3" fillId="0" borderId="0" xfId="0" applyFont="1"/>
    <xf numFmtId="0" fontId="4" fillId="0" borderId="0" xfId="0" applyFont="1"/>
    <xf numFmtId="0" fontId="5" fillId="3" borderId="0" xfId="0" applyFont="1" applyFill="1"/>
    <xf numFmtId="0" fontId="1" fillId="0" borderId="2" xfId="0" applyNumberFormat="1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6" fillId="0" borderId="0" xfId="0" applyFont="1" applyAlignment="1">
      <alignment vertical="top" wrapText="1"/>
    </xf>
    <xf numFmtId="0" fontId="7" fillId="0" borderId="0" xfId="0" applyFont="1"/>
    <xf numFmtId="0" fontId="0" fillId="0" borderId="0" xfId="0"/>
  </cellXfs>
  <cellStyles count="1">
    <cellStyle name="Normal" xfId="0" builtinId="0"/>
  </cellStyles>
  <dxfs count="4">
    <dxf>
      <font>
        <color theme="5" tint="-0.499984740745262"/>
      </font>
    </dxf>
    <dxf>
      <font>
        <color rgb="FFC00000"/>
      </font>
    </dxf>
    <dxf>
      <font>
        <color rgb="FFC00000"/>
      </font>
    </dxf>
    <dxf>
      <font>
        <color rgb="FFC0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 trend Table.xlsx]Pivot_ProductSales!PivotTable1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Pivot_ProductSales!$B$3</c:f>
              <c:strCache>
                <c:ptCount val="1"/>
                <c:pt idx="0">
                  <c:v>Sum of TotalPrice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Pivot_ProductSales!$A$4:$A$12</c:f>
              <c:strCache>
                <c:ptCount val="8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  <c:pt idx="7">
                  <c:v>(blank)</c:v>
                </c:pt>
              </c:strCache>
            </c:strRef>
          </c:cat>
          <c:val>
            <c:numRef>
              <c:f>Pivot_ProductSales!$B$4:$B$12</c:f>
              <c:numCache>
                <c:formatCode>General</c:formatCode>
                <c:ptCount val="8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5A-44B6-9F72-BF4D9C1ACA2C}"/>
            </c:ext>
          </c:extLst>
        </c:ser>
        <c:ser>
          <c:idx val="1"/>
          <c:order val="1"/>
          <c:tx>
            <c:strRef>
              <c:f>Pivot_ProductSales!$C$3</c:f>
              <c:strCache>
                <c:ptCount val="1"/>
                <c:pt idx="0">
                  <c:v>Count of OrderID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Pivot_ProductSales!$A$4:$A$12</c:f>
              <c:strCache>
                <c:ptCount val="8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  <c:pt idx="7">
                  <c:v>(blank)</c:v>
                </c:pt>
              </c:strCache>
            </c:strRef>
          </c:cat>
          <c:val>
            <c:numRef>
              <c:f>Pivot_ProductSales!$C$4:$C$12</c:f>
              <c:numCache>
                <c:formatCode>General</c:formatCode>
                <c:ptCount val="8"/>
                <c:pt idx="0">
                  <c:v>178</c:v>
                </c:pt>
                <c:pt idx="1">
                  <c:v>170</c:v>
                </c:pt>
                <c:pt idx="2">
                  <c:v>173</c:v>
                </c:pt>
                <c:pt idx="3">
                  <c:v>163</c:v>
                </c:pt>
                <c:pt idx="4">
                  <c:v>156</c:v>
                </c:pt>
                <c:pt idx="5">
                  <c:v>181</c:v>
                </c:pt>
                <c:pt idx="6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5A-44B6-9F72-BF4D9C1AC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1389464"/>
        <c:axId val="290490568"/>
      </c:barChart>
      <c:catAx>
        <c:axId val="291389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490568"/>
        <c:crosses val="autoZero"/>
        <c:auto val="1"/>
        <c:lblAlgn val="ctr"/>
        <c:lblOffset val="100"/>
        <c:noMultiLvlLbl val="0"/>
      </c:catAx>
      <c:valAx>
        <c:axId val="290490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389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 trend Table.xlsx]Pivot_MonthlyTrend!PivotTable2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Pivot_MonthlyTrend!$B$3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Pivot_MonthlyTrend!$A$4:$A$39</c:f>
              <c:multiLvlStrCache>
                <c:ptCount val="31"/>
                <c:lvl>
                  <c:pt idx="0">
                    <c:v>(blank)</c:v>
                  </c:pt>
                  <c:pt idx="1">
                    <c:v>Jan</c:v>
                  </c:pt>
                  <c:pt idx="2">
                    <c:v>Feb</c:v>
                  </c:pt>
                  <c:pt idx="3">
                    <c:v>Mar</c:v>
                  </c:pt>
                  <c:pt idx="4">
                    <c:v>Apr</c:v>
                  </c:pt>
                  <c:pt idx="5">
                    <c:v>May</c:v>
                  </c:pt>
                  <c:pt idx="6">
                    <c:v>Jun</c:v>
                  </c:pt>
                  <c:pt idx="7">
                    <c:v>Jul</c:v>
                  </c:pt>
                  <c:pt idx="8">
                    <c:v>Aug</c:v>
                  </c:pt>
                  <c:pt idx="9">
                    <c:v>Sep</c:v>
                  </c:pt>
                  <c:pt idx="10">
                    <c:v>Oct</c:v>
                  </c:pt>
                  <c:pt idx="11">
                    <c:v>Nov</c:v>
                  </c:pt>
                  <c:pt idx="12">
                    <c:v>Dec</c:v>
                  </c:pt>
                  <c:pt idx="13">
                    <c:v>Jan</c:v>
                  </c:pt>
                  <c:pt idx="14">
                    <c:v>Feb</c:v>
                  </c:pt>
                  <c:pt idx="15">
                    <c:v>Mar</c:v>
                  </c:pt>
                  <c:pt idx="16">
                    <c:v>Apr</c:v>
                  </c:pt>
                  <c:pt idx="17">
                    <c:v>May</c:v>
                  </c:pt>
                  <c:pt idx="18">
                    <c:v>Jun</c:v>
                  </c:pt>
                  <c:pt idx="19">
                    <c:v>Jul</c:v>
                  </c:pt>
                  <c:pt idx="20">
                    <c:v>Aug</c:v>
                  </c:pt>
                  <c:pt idx="21">
                    <c:v>Sep</c:v>
                  </c:pt>
                  <c:pt idx="22">
                    <c:v>Oct</c:v>
                  </c:pt>
                  <c:pt idx="23">
                    <c:v>Nov</c:v>
                  </c:pt>
                  <c:pt idx="24">
                    <c:v>Dec</c:v>
                  </c:pt>
                  <c:pt idx="25">
                    <c:v>Jan</c:v>
                  </c:pt>
                  <c:pt idx="26">
                    <c:v>Feb</c:v>
                  </c:pt>
                  <c:pt idx="27">
                    <c:v>Mar</c:v>
                  </c:pt>
                  <c:pt idx="28">
                    <c:v>Apr</c:v>
                  </c:pt>
                  <c:pt idx="29">
                    <c:v>May</c:v>
                  </c:pt>
                  <c:pt idx="30">
                    <c:v>Jun</c:v>
                  </c:pt>
                </c:lvl>
                <c:lvl>
                  <c:pt idx="0">
                    <c:v>&lt;1/1/2023</c:v>
                  </c:pt>
                  <c:pt idx="1">
                    <c:v>2023</c:v>
                  </c:pt>
                  <c:pt idx="13">
                    <c:v>2024</c:v>
                  </c:pt>
                  <c:pt idx="25">
                    <c:v>2025</c:v>
                  </c:pt>
                </c:lvl>
              </c:multiLvlStrCache>
            </c:multiLvlStrRef>
          </c:cat>
          <c:val>
            <c:numRef>
              <c:f>Pivot_MonthlyTrend!$B$4:$B$39</c:f>
              <c:numCache>
                <c:formatCode>General</c:formatCode>
                <c:ptCount val="31"/>
                <c:pt idx="1">
                  <c:v>56685.749999999985</c:v>
                </c:pt>
                <c:pt idx="2">
                  <c:v>40117.659999999996</c:v>
                </c:pt>
                <c:pt idx="3">
                  <c:v>48609.37000000001</c:v>
                </c:pt>
                <c:pt idx="4">
                  <c:v>27751.710000000006</c:v>
                </c:pt>
                <c:pt idx="5">
                  <c:v>63836.840000000026</c:v>
                </c:pt>
                <c:pt idx="6">
                  <c:v>49500.19</c:v>
                </c:pt>
                <c:pt idx="7">
                  <c:v>42820.66</c:v>
                </c:pt>
                <c:pt idx="8">
                  <c:v>54352.14</c:v>
                </c:pt>
                <c:pt idx="9">
                  <c:v>29526.67</c:v>
                </c:pt>
                <c:pt idx="10">
                  <c:v>52607.85</c:v>
                </c:pt>
                <c:pt idx="11">
                  <c:v>43079.67</c:v>
                </c:pt>
                <c:pt idx="12">
                  <c:v>43754.729999999981</c:v>
                </c:pt>
                <c:pt idx="13">
                  <c:v>38528.079999999994</c:v>
                </c:pt>
                <c:pt idx="14">
                  <c:v>36909.570000000014</c:v>
                </c:pt>
                <c:pt idx="15">
                  <c:v>36030.899999999994</c:v>
                </c:pt>
                <c:pt idx="16">
                  <c:v>49613.139999999992</c:v>
                </c:pt>
                <c:pt idx="17">
                  <c:v>27909.110000000004</c:v>
                </c:pt>
                <c:pt idx="18">
                  <c:v>68068.539999999979</c:v>
                </c:pt>
                <c:pt idx="19">
                  <c:v>42963.98</c:v>
                </c:pt>
                <c:pt idx="20">
                  <c:v>31991.07</c:v>
                </c:pt>
                <c:pt idx="21">
                  <c:v>39794.979999999996</c:v>
                </c:pt>
                <c:pt idx="22">
                  <c:v>37226.969999999994</c:v>
                </c:pt>
                <c:pt idx="23">
                  <c:v>32413.760000000006</c:v>
                </c:pt>
                <c:pt idx="24">
                  <c:v>38785.769999999997</c:v>
                </c:pt>
                <c:pt idx="25">
                  <c:v>29099.399999999998</c:v>
                </c:pt>
                <c:pt idx="26">
                  <c:v>35317.549999999996</c:v>
                </c:pt>
                <c:pt idx="27">
                  <c:v>39200.660000000011</c:v>
                </c:pt>
                <c:pt idx="28">
                  <c:v>31821.200000000001</c:v>
                </c:pt>
                <c:pt idx="29">
                  <c:v>43396.639999999992</c:v>
                </c:pt>
                <c:pt idx="30">
                  <c:v>53047.399999999994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55-4F40-B6A2-6766D437D1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611192"/>
        <c:axId val="393603976"/>
      </c:lineChart>
      <c:catAx>
        <c:axId val="393611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603976"/>
        <c:crosses val="autoZero"/>
        <c:auto val="1"/>
        <c:lblAlgn val="ctr"/>
        <c:lblOffset val="100"/>
        <c:noMultiLvlLbl val="0"/>
      </c:catAx>
      <c:valAx>
        <c:axId val="393603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611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 trend Table.xlsx]Pivot_PaymentMethod!PivotTable3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Pivot_PaymentMethod!$B$3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Pivot_PaymentMethod!$A$4:$A$10</c:f>
              <c:strCache>
                <c:ptCount val="6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  <c:pt idx="5">
                  <c:v>(blank)</c:v>
                </c:pt>
              </c:strCache>
            </c:strRef>
          </c:cat>
          <c:val>
            <c:numRef>
              <c:f>Pivot_PaymentMethod!$B$4:$B$10</c:f>
              <c:numCache>
                <c:formatCode>General</c:formatCode>
                <c:ptCount val="6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62-4EE1-9AF5-D521CEB00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0027552"/>
        <c:axId val="400031816"/>
      </c:barChart>
      <c:catAx>
        <c:axId val="400027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031816"/>
        <c:crosses val="autoZero"/>
        <c:auto val="1"/>
        <c:lblAlgn val="ctr"/>
        <c:lblOffset val="100"/>
        <c:noMultiLvlLbl val="0"/>
      </c:catAx>
      <c:valAx>
        <c:axId val="400031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027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 trend Table.xlsx]Pivot_OrderStatus!PivotTable4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Pivot_OrderStatus!$B$3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Pivot_OrderStatus!$A$4:$A$10</c:f>
              <c:strCache>
                <c:ptCount val="6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  <c:pt idx="5">
                  <c:v>(blank)</c:v>
                </c:pt>
              </c:strCache>
            </c:strRef>
          </c:cat>
          <c:val>
            <c:numRef>
              <c:f>Pivot_OrderStatus!$B$4:$B$10</c:f>
              <c:numCache>
                <c:formatCode>General</c:formatCode>
                <c:ptCount val="6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F3-4C42-9516-9FB098AF0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5383192"/>
        <c:axId val="405379256"/>
      </c:barChart>
      <c:catAx>
        <c:axId val="405383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379256"/>
        <c:crosses val="autoZero"/>
        <c:auto val="1"/>
        <c:lblAlgn val="ctr"/>
        <c:lblOffset val="100"/>
        <c:noMultiLvlLbl val="0"/>
      </c:catAx>
      <c:valAx>
        <c:axId val="405379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383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604837</xdr:colOff>
      <xdr:row>1</xdr:row>
      <xdr:rowOff>104775</xdr:rowOff>
    </xdr:from>
    <xdr:to>
      <xdr:col>12</xdr:col>
      <xdr:colOff>300037</xdr:colOff>
      <xdr:row>15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</xdr:colOff>
      <xdr:row>1</xdr:row>
      <xdr:rowOff>180975</xdr:rowOff>
    </xdr:from>
    <xdr:to>
      <xdr:col>12</xdr:col>
      <xdr:colOff>309562</xdr:colOff>
      <xdr:row>16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</xdr:colOff>
      <xdr:row>1</xdr:row>
      <xdr:rowOff>9525</xdr:rowOff>
    </xdr:from>
    <xdr:to>
      <xdr:col>11</xdr:col>
      <xdr:colOff>309562</xdr:colOff>
      <xdr:row>15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604837</xdr:colOff>
      <xdr:row>0</xdr:row>
      <xdr:rowOff>142875</xdr:rowOff>
    </xdr:from>
    <xdr:to>
      <xdr:col>12</xdr:col>
      <xdr:colOff>300037</xdr:colOff>
      <xdr:row>15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 LAPTOP" refreshedDate="46233.176552314813" createdVersion="6" refreshedVersion="6" minRefreshableVersion="3" recordCount="1201">
  <cacheSource type="worksheet">
    <worksheetSource ref="A1:O1202" sheet="Data 1"/>
  </cacheSource>
  <cacheFields count="16">
    <cacheField name="OrderID" numFmtId="0">
      <sharedItems containsBlank="1" count="1201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  <m/>
      </sharedItems>
    </cacheField>
    <cacheField name="Date" numFmtId="0">
      <sharedItems containsNonDate="0" containsDate="1" containsString="0" containsBlank="1" minDate="2023-01-01T00:00:00" maxDate="2025-07-01T00:00:00" count="672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  <m/>
      </sharedItems>
      <fieldGroup par="15" base="1">
        <rangePr groupBy="months" startDate="2023-01-01T00:00:00" endDate="2025-07-01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CustomerID" numFmtId="0">
      <sharedItems containsBlank="1"/>
    </cacheField>
    <cacheField name="Product" numFmtId="0">
      <sharedItems containsBlank="1" count="8">
        <s v="Monitor"/>
        <s v="Phone"/>
        <s v="Tablet"/>
        <s v="Chair"/>
        <s v="Printer"/>
        <s v="Laptop"/>
        <s v="Desk"/>
        <m/>
      </sharedItems>
    </cacheField>
    <cacheField name="Quantity" numFmtId="0">
      <sharedItems containsString="0" containsBlank="1" containsNumber="1" containsInteger="1" minValue="1" maxValue="5"/>
    </cacheField>
    <cacheField name="UnitPrice" numFmtId="0">
      <sharedItems containsString="0" containsBlank="1" containsNumber="1" minValue="11.39" maxValue="699.93"/>
    </cacheField>
    <cacheField name="ShippingAddress" numFmtId="0">
      <sharedItems containsBlank="1"/>
    </cacheField>
    <cacheField name="PaymentMethod" numFmtId="0">
      <sharedItems containsBlank="1" count="6">
        <s v="Debit Card"/>
        <s v="Online"/>
        <s v="Credit Card"/>
        <s v="Gift Card"/>
        <s v="Cash"/>
        <m/>
      </sharedItems>
    </cacheField>
    <cacheField name="OrderStatus" numFmtId="0">
      <sharedItems containsBlank="1" count="6">
        <s v="Shipped"/>
        <s v="Cancelled"/>
        <s v="Returned"/>
        <s v="Delivered"/>
        <s v="Pending"/>
        <m/>
      </sharedItems>
    </cacheField>
    <cacheField name="TrackingNumber" numFmtId="0">
      <sharedItems containsBlank="1"/>
    </cacheField>
    <cacheField name="ItemsInCart" numFmtId="0">
      <sharedItems containsString="0" containsBlank="1" containsNumber="1" containsInteger="1" minValue="1" maxValue="10"/>
    </cacheField>
    <cacheField name="CouponCode" numFmtId="0">
      <sharedItems containsMixedTypes="1" containsNumber="1" containsInteger="1" minValue="0" maxValue="0"/>
    </cacheField>
    <cacheField name="ReferralSource" numFmtId="0">
      <sharedItems containsBlank="1"/>
    </cacheField>
    <cacheField name="TotalPrice" numFmtId="2">
      <sharedItems containsString="0" containsBlank="1" containsNumber="1" minValue="11.39" maxValue="3456.4" count="1196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1999999999999"/>
        <n v="361"/>
        <n v="604.47"/>
        <n v="786.66"/>
        <n v="473.96"/>
        <n v="1067.6199999999999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899999999999"/>
        <n v="853.4"/>
        <n v="1500.24"/>
        <n v="2683.6"/>
        <n v="162.77000000000001"/>
        <n v="2306.08"/>
        <n v="930.3"/>
        <n v="1068.8599999999999"/>
        <n v="153.47999999999999"/>
        <n v="245.89"/>
        <n v="769.37999999999988"/>
        <n v="688.04"/>
        <n v="1834.35"/>
        <n v="303.32"/>
        <n v="1497.63"/>
        <n v="1100.3599999999999"/>
        <n v="317.25"/>
        <n v="2200.56"/>
        <n v="419.88"/>
        <n v="161.54"/>
        <n v="30.44"/>
        <n v="179.22"/>
        <n v="388.33"/>
        <n v="586.44000000000005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0000000000009"/>
        <n v="48.4"/>
        <n v="1472.76"/>
        <n v="1435.95"/>
        <n v="629.21"/>
        <n v="1303.3499999999999"/>
        <n v="2357.7600000000002"/>
        <n v="1733.8"/>
        <n v="454.35"/>
        <n v="1194.51"/>
        <n v="1531.52"/>
        <n v="583.17999999999995"/>
        <n v="701.44"/>
        <n v="623.82000000000005"/>
        <n v="1768.68"/>
        <n v="788.6"/>
        <n v="2260.8000000000002"/>
        <n v="2161.64"/>
        <n v="330.98"/>
        <n v="440.18999999999988"/>
        <n v="3215.15"/>
        <n v="675.33"/>
        <n v="344.43"/>
        <n v="2276.65"/>
        <n v="728.32"/>
        <n v="2463.75"/>
        <n v="194.44"/>
        <n v="1724.04"/>
        <n v="531.17999999999995"/>
        <n v="470.04"/>
        <n v="465.66"/>
        <n v="3097.6"/>
        <n v="457.08"/>
        <n v="201.58"/>
        <n v="1994.37"/>
        <n v="381.02"/>
        <n v="140.68"/>
        <n v="873.72"/>
        <n v="582.04"/>
        <n v="556.20000000000005"/>
        <n v="1395.15"/>
        <n v="3353.75"/>
        <n v="241.9"/>
        <n v="1778.61"/>
        <n v="220.77"/>
        <n v="927.66000000000008"/>
        <n v="410.6"/>
        <n v="950.40000000000009"/>
        <n v="2492.4"/>
        <n v="1874.95"/>
        <n v="1165.4000000000001"/>
        <n v="535.5"/>
        <n v="2513.5500000000002"/>
        <n v="1069.3399999999999"/>
        <n v="2517.36"/>
        <n v="410.78"/>
        <n v="1066.04"/>
        <n v="834.12000000000012"/>
        <n v="1135.1600000000001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000000000001"/>
        <n v="440.73"/>
        <n v="822.98"/>
        <n v="930.36"/>
        <n v="639.82000000000005"/>
        <n v="217.56"/>
        <n v="211.14"/>
        <n v="2223.8000000000002"/>
        <n v="798.08"/>
        <n v="2137.92"/>
        <n v="1632.84"/>
        <n v="424.4"/>
        <n v="539.66"/>
        <n v="1129.1600000000001"/>
        <n v="331.06"/>
        <n v="299.35000000000002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399999999998"/>
        <n v="341.7"/>
        <n v="1723.32"/>
        <n v="2158.4499999999998"/>
        <n v="2048.2399999999998"/>
        <n v="1619.73"/>
        <n v="1580.35"/>
        <n v="2021.95"/>
        <n v="600.54"/>
        <n v="931.4"/>
        <n v="858.16"/>
        <n v="210.7"/>
        <n v="267.10000000000002"/>
        <n v="590.87"/>
        <n v="727.82"/>
        <n v="2147.25"/>
        <n v="671.09999999999991"/>
        <n v="977.74"/>
        <n v="645.46"/>
        <n v="46.66"/>
        <n v="249.57"/>
        <n v="1857.63"/>
        <n v="868.52"/>
        <n v="1107.55"/>
        <n v="1361.2"/>
        <n v="625"/>
        <n v="2166.3000000000002"/>
        <n v="1349.8"/>
        <n v="761.939999999999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00000000001"/>
        <n v="303.60000000000002"/>
        <n v="1984"/>
        <n v="1286.04"/>
        <n v="337.38"/>
        <n v="309.85000000000002"/>
        <n v="746.34"/>
        <n v="3196.85"/>
        <n v="2773.44"/>
        <n v="2771.64"/>
        <n v="365.84"/>
        <n v="821.879999999999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39999999999998"/>
        <n v="3078.35"/>
        <n v="438.2"/>
        <n v="289.32"/>
        <n v="635.54"/>
        <n v="223.3"/>
        <n v="684.22"/>
        <n v="441.8"/>
        <n v="670.54"/>
        <n v="546.19000000000005"/>
        <n v="128.85"/>
        <n v="58.76"/>
        <n v="2673.44"/>
        <n v="1654.96"/>
        <n v="789.56999999999994"/>
        <n v="263.95999999999998"/>
        <n v="379.05"/>
        <n v="406.22"/>
        <n v="206.82"/>
        <n v="1740.48"/>
        <n v="815.58"/>
        <n v="868.25"/>
        <n v="996.28"/>
        <n v="1739.4"/>
        <n v="436.77"/>
        <n v="572.13"/>
        <n v="2332.2800000000002"/>
        <n v="2342.5500000000002"/>
        <n v="847.76"/>
        <n v="2654.68"/>
        <n v="1239.6400000000001"/>
        <n v="542.07000000000005"/>
        <n v="798.64"/>
        <n v="476.5"/>
        <n v="364.8"/>
        <n v="130.13999999999999"/>
        <n v="1201.1400000000001"/>
        <n v="454.6"/>
        <n v="1812.3"/>
        <n v="165.03"/>
        <n v="1213.8599999999999"/>
        <n v="2619.16"/>
        <n v="2551.16"/>
        <n v="2161.3200000000002"/>
        <n v="1040.8499999999999"/>
        <n v="338.31"/>
        <n v="418.35"/>
        <n v="2620.7199999999998"/>
        <n v="2051"/>
        <n v="641.96"/>
        <n v="299.7"/>
        <n v="690.02"/>
        <n v="65.95"/>
        <n v="1852.16"/>
        <n v="595.41999999999996"/>
        <n v="537.4"/>
        <n v="3194"/>
        <n v="987.76"/>
        <n v="1204.68"/>
        <n v="278.66000000000003"/>
        <n v="287.45999999999998"/>
        <n v="583.99"/>
        <n v="1406.22"/>
        <n v="30.54"/>
        <n v="2043.65"/>
        <n v="507.56"/>
        <n v="114.14"/>
        <n v="1672.23"/>
        <n v="1346.7"/>
        <n v="2199.04"/>
        <n v="397.43999999999988"/>
        <n v="2446.85"/>
        <n v="331.55"/>
        <n v="868.6"/>
        <n v="612.36"/>
        <n v="458.35"/>
        <n v="1101.1199999999999"/>
        <n v="279.89999999999998"/>
        <n v="446.16"/>
        <n v="1126.1199999999999"/>
        <n v="625.51"/>
        <n v="609.16"/>
        <n v="1159.0999999999999"/>
        <n v="150.16999999999999"/>
        <n v="212.79"/>
        <n v="1084.17"/>
        <n v="3352.4"/>
        <n v="359.99"/>
        <n v="3370.2"/>
        <n v="1132.6400000000001"/>
        <n v="1302.6500000000001"/>
        <n v="1266.3900000000001"/>
        <n v="625.1"/>
        <n v="198.51"/>
        <n v="899"/>
        <n v="617.58000000000004"/>
        <n v="18.2"/>
        <n v="1508.31"/>
        <n v="1527.45"/>
        <n v="472.66"/>
        <n v="2606.25"/>
        <n v="167.15"/>
        <n v="2332.1"/>
        <n v="527.57000000000005"/>
        <n v="1870.02"/>
        <n v="2506.3000000000002"/>
        <n v="655.09"/>
        <n v="1059.1600000000001"/>
        <n v="1079.19"/>
        <n v="465.33"/>
        <n v="108.82"/>
        <n v="64.66"/>
        <n v="869.80000000000007"/>
        <n v="630.82000000000005"/>
        <n v="693.41"/>
        <n v="1299.99"/>
        <n v="1872.9"/>
        <n v="2042.8"/>
        <n v="367.34"/>
        <n v="2426.2800000000002"/>
        <n v="2358.2800000000002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599999999999"/>
        <n v="1575.2"/>
        <n v="1660.71"/>
        <n v="958.15"/>
        <n v="93.02"/>
        <n v="79.06"/>
        <n v="1901.91"/>
        <n v="2790"/>
        <n v="2543.4499999999998"/>
        <n v="1054.92"/>
        <n v="627.20000000000005"/>
        <n v="75.010000000000005"/>
        <n v="2647.75"/>
        <n v="382.23"/>
        <n v="1435.65"/>
        <n v="427.06"/>
        <n v="269.64999999999998"/>
        <n v="2119.65"/>
        <n v="640.88"/>
        <n v="538.67999999999995"/>
        <n v="1686.9"/>
        <n v="620.21"/>
        <n v="198.2"/>
        <n v="1807.88"/>
        <n v="264.39999999999998"/>
        <n v="2189.2800000000002"/>
        <n v="1237.5899999999999"/>
        <n v="420.65"/>
        <n v="1036.46"/>
        <n v="79.02"/>
        <n v="665.05"/>
        <n v="118.8"/>
        <n v="279.14"/>
        <n v="184.15"/>
        <n v="1288.0999999999999"/>
        <n v="277.05"/>
        <n v="310.93"/>
        <n v="433.32"/>
        <n v="452.7"/>
        <n v="576.41999999999996"/>
        <n v="826.4"/>
        <n v="2740.8"/>
        <n v="114.7"/>
        <n v="603.76"/>
        <n v="287.25"/>
        <n v="161.24"/>
        <n v="1050.32"/>
        <n v="2060.7600000000002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6999999999999"/>
        <n v="487.21"/>
        <n v="2547.9"/>
        <n v="833.62"/>
        <n v="320"/>
        <n v="759.15000000000009"/>
        <n v="3075.5"/>
        <n v="183.18"/>
        <n v="75.78"/>
        <n v="675.57"/>
        <n v="109.29"/>
        <n v="639.83000000000004"/>
        <n v="314.05"/>
        <n v="2463.3200000000002"/>
        <n v="2042.32"/>
        <n v="334.39"/>
        <n v="144.25"/>
        <n v="401.82"/>
        <n v="252.68"/>
        <n v="3313.9"/>
        <n v="1737.68"/>
        <n v="2567.4499999999998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699999999999"/>
        <n v="2445.04"/>
        <n v="1039.56"/>
        <n v="36.65"/>
        <n v="448.02"/>
        <n v="2339.0500000000002"/>
        <n v="2103.5"/>
        <n v="3032.6"/>
        <n v="420.26"/>
        <n v="1517.37"/>
        <n v="1974.92"/>
        <n v="603.63"/>
        <n v="336.87"/>
        <n v="530.24"/>
        <n v="1618.38"/>
        <n v="2542.9499999999998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4999999999993"/>
        <n v="1660.56"/>
        <n v="500.97"/>
        <n v="793.4"/>
        <n v="1614.32"/>
        <n v="1857.16"/>
        <n v="1907.94"/>
        <n v="528.05999999999995"/>
        <n v="515.32000000000005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000000000002"/>
        <n v="17.98"/>
        <n v="1349.3"/>
        <n v="159.80000000000001"/>
        <n v="196.94"/>
        <n v="158.68"/>
        <n v="613.98"/>
        <n v="1278.3599999999999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6999999999998"/>
        <n v="687.98"/>
        <n v="1253.4000000000001"/>
        <n v="724.28"/>
        <n v="214.08"/>
        <n v="70.319999999999993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0000000000005"/>
        <n v="268.32"/>
        <n v="522.08000000000004"/>
        <n v="2573"/>
        <n v="2311.2800000000002"/>
        <n v="1001.6"/>
        <n v="922.26"/>
        <n v="605.28"/>
        <n v="612.81000000000006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59999999999985"/>
        <n v="457.82"/>
        <n v="824.25"/>
        <n v="2536.1999999999998"/>
        <n v="2715.8"/>
        <n v="1347.39"/>
        <n v="1948.1"/>
        <n v="305.17"/>
        <n v="1335.36"/>
        <n v="460.72"/>
        <n v="96.81"/>
        <n v="2300.6999999999998"/>
        <n v="1804.8"/>
        <n v="553.41"/>
        <n v="411.34"/>
        <n v="532.89"/>
        <n v="409.02"/>
        <n v="2380.0500000000002"/>
        <n v="1181.9000000000001"/>
        <n v="1188"/>
        <n v="1709.8"/>
        <n v="672.89"/>
        <n v="1314.96"/>
        <n v="1496.04"/>
        <n v="2793.15"/>
        <n v="59.19"/>
        <n v="1244.2"/>
        <n v="138.33000000000001"/>
        <n v="3390.8"/>
        <n v="3008.6"/>
        <n v="518.64"/>
        <n v="191.04"/>
        <n v="1484.28"/>
        <n v="1225.4000000000001"/>
        <n v="2313.08"/>
        <n v="529.19000000000005"/>
        <n v="1174.98"/>
        <n v="2270.2800000000002"/>
        <n v="426.1"/>
        <n v="438.37"/>
        <n v="732.46"/>
        <n v="300.10000000000002"/>
        <n v="1994.04"/>
        <n v="1018.17"/>
        <n v="1151.6600000000001"/>
        <n v="1285.96"/>
        <n v="744.46"/>
        <n v="1939.02"/>
        <n v="1709.2"/>
        <n v="2070.9"/>
        <n v="1147.1099999999999"/>
        <n v="265.2"/>
        <n v="378.12"/>
        <n v="351.16"/>
        <n v="92.72"/>
        <n v="1284.08"/>
        <n v="1303.1400000000001"/>
        <n v="1274.67"/>
        <n v="1316.67"/>
        <n v="72.599999999999994"/>
        <n v="779"/>
        <n v="925.04"/>
        <n v="1308.48"/>
        <n v="466.42"/>
        <n v="507.34"/>
        <n v="257"/>
        <n v="2156.8000000000002"/>
        <n v="253.7"/>
        <n v="1248.32"/>
        <n v="745.84"/>
        <n v="1435"/>
        <n v="1026.06"/>
        <n v="844.68"/>
        <n v="110.35"/>
        <n v="489.39"/>
        <n v="1081.98"/>
        <n v="1390.17"/>
        <n v="155.27000000000001"/>
        <n v="1528.26"/>
        <n v="2609.92"/>
        <n v="139.36000000000001"/>
        <n v="234.37"/>
        <n v="160.80000000000001"/>
        <n v="332.09"/>
        <n v="2372.88"/>
        <n v="889.68"/>
        <n v="24.48"/>
        <n v="717.24"/>
        <n v="984.2"/>
        <n v="176.58"/>
        <n v="2666.08"/>
        <n v="506.5"/>
        <n v="604.79999999999995"/>
        <n v="474.25"/>
        <n v="776.44"/>
        <n v="1842.45"/>
        <n v="185.82"/>
        <n v="276.66000000000003"/>
        <n v="1687.65"/>
        <n v="92.79"/>
        <n v="121.08"/>
        <n v="98.16"/>
        <n v="1140.45"/>
        <n v="2600.16"/>
        <n v="665.11"/>
        <n v="386.03"/>
        <n v="107.7"/>
        <n v="951.56"/>
        <n v="136.80000000000001"/>
        <n v="2129.96"/>
        <n v="51.73"/>
        <n v="1960.89"/>
        <n v="1362.87"/>
        <n v="366.33"/>
        <n v="258.95999999999998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000000000001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000000000005"/>
        <n v="3267.3"/>
        <n v="2714.2"/>
        <n v="314.38"/>
        <n v="2077.3200000000002"/>
        <n v="604.87"/>
        <n v="1024.6600000000001"/>
        <n v="61.62"/>
        <n v="1250.44"/>
        <n v="21.19"/>
        <n v="322.45"/>
        <n v="987.4"/>
        <n v="1766.22"/>
        <n v="737.92"/>
        <n v="2621.3000000000002"/>
        <n v="987.26"/>
        <n v="438.34"/>
        <n v="325.81"/>
        <n v="176.1"/>
        <n v="226.55"/>
        <n v="887.84"/>
        <n v="1202.8599999999999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00000000002"/>
        <n v="1268.75"/>
        <n v="2028.63"/>
        <n v="402.15"/>
        <n v="1087.1500000000001"/>
        <n v="553.55999999999995"/>
        <n v="57.1"/>
        <n v="510.52"/>
        <n v="1462.7"/>
        <n v="590.04"/>
        <n v="1709.52"/>
        <n v="2873.95"/>
        <n v="2392.7600000000002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0000000000007"/>
        <n v="762.56"/>
        <n v="177.46"/>
        <n v="2428.5500000000002"/>
        <n v="391.45"/>
        <n v="110.7"/>
        <n v="679.65"/>
        <n v="178.44"/>
        <n v="3277.75"/>
        <n v="2308.3200000000002"/>
        <n v="593.91"/>
        <n v="1235.8499999999999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000000000002"/>
        <n v="1306.6500000000001"/>
        <n v="422.54"/>
        <n v="1652.25"/>
        <n v="362.46"/>
        <n v="14.06"/>
        <n v="491.11"/>
        <n v="2709.48"/>
        <n v="946.25"/>
        <n v="570.32000000000005"/>
        <n v="1265.28"/>
        <n v="1067.9000000000001"/>
        <n v="1880.36"/>
        <n v="972.90000000000009"/>
        <n v="977.8"/>
        <n v="666.94999999999993"/>
        <n v="3044.55"/>
        <n v="524.05999999999995"/>
        <n v="661.38"/>
        <n v="1095.3399999999999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0000000000005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00000000001"/>
        <n v="1949.79"/>
        <n v="1342.15"/>
        <n v="2512.35"/>
        <n v="26.95"/>
        <n v="258.76"/>
        <n v="741.33"/>
        <n v="1072.5"/>
        <n v="912.08"/>
        <n v="80.459999999999994"/>
        <n v="144.78"/>
        <n v="788.32"/>
        <n v="479.36"/>
        <n v="2078.13"/>
        <n v="226.64"/>
        <n v="597.05999999999995"/>
        <n v="994.37999999999988"/>
        <n v="1042.8"/>
        <n v="1221.28"/>
        <n v="558.5"/>
        <n v="479.76"/>
        <n v="580.47"/>
        <n v="852.44"/>
        <n v="1382.2"/>
        <n v="809.92"/>
        <n v="1862.64"/>
        <n v="1188.1400000000001"/>
        <n v="551.9"/>
        <n v="596.24"/>
        <n v="612.48"/>
        <n v="1510.17"/>
        <n v="131.61000000000001"/>
        <n v="1330.32"/>
        <n v="408.13"/>
        <n v="321.95999999999998"/>
        <n v="3219.45"/>
        <n v="475.98"/>
        <n v="287.64"/>
        <n v="1137.21"/>
        <n v="601.36"/>
        <n v="284.16000000000003"/>
        <n v="2651.7"/>
        <n v="1822.1"/>
        <n v="2313.12"/>
        <n v="1402.6"/>
        <n v="3194.6"/>
        <n v="1648.8"/>
        <n v="440.34"/>
        <n v="627.15"/>
        <n v="1210.52"/>
        <n v="90.27"/>
        <n v="1153.8499999999999"/>
        <n v="1333.9"/>
        <n v="105.92"/>
        <n v="1767.9"/>
        <n v="2597.88"/>
        <n v="429.96"/>
        <n v="2007.18"/>
        <n v="208.95"/>
        <n v="547.32000000000005"/>
        <n v="304.11"/>
        <n v="1185.1199999999999"/>
        <n v="77.64"/>
        <n v="243.71"/>
        <n v="2579.84"/>
        <n v="1418.65"/>
        <n v="1259.1199999999999"/>
        <n v="984.44"/>
        <n v="836.52"/>
        <n v="1758.63"/>
        <n v="802.34999999999991"/>
        <n v="2462.6"/>
        <n v="226.58"/>
        <n v="1895.44"/>
        <n v="1334.25"/>
        <n v="483.38"/>
        <n v="1304.6500000000001"/>
        <n v="507.36"/>
        <n v="2799.52"/>
        <n v="1599.85"/>
        <n v="987.64"/>
        <n v="1178.55"/>
        <n v="2104.9"/>
        <n v="146.52000000000001"/>
        <n v="1232.6400000000001"/>
        <n v="352.92"/>
        <n v="1978.71"/>
        <n v="956.72"/>
        <n v="120.2"/>
        <n v="1202.24"/>
        <n v="1132.25"/>
        <n v="698.8"/>
        <n v="1343.9"/>
        <n v="1361.7"/>
        <n v="547.43999999999994"/>
        <n v="277.08999999999997"/>
        <n v="53"/>
        <n v="945.81"/>
        <n v="1352.94"/>
        <n v="1168.3499999999999"/>
        <n v="1103.25"/>
        <n v="23.53"/>
        <n v="677.48"/>
        <n v="2219.3200000000002"/>
        <n v="1761.24"/>
        <n v="87.06"/>
        <n v="981.12"/>
        <n v="3322.55"/>
        <n v="618.67999999999995"/>
        <n v="370.85"/>
        <n v="2071.92"/>
        <n v="2024.44"/>
        <n v="1241.49"/>
        <n v="249.81"/>
        <n v="1087.5899999999999"/>
        <n v="598.46"/>
        <n v="536.07000000000005"/>
        <n v="2235.6"/>
        <n v="819.5"/>
        <n v="359.92"/>
        <n v="38.49"/>
        <n v="1582"/>
        <n v="1641.45"/>
        <n v="2161.36"/>
        <n v="294.60000000000002"/>
        <n v="1959.3"/>
        <n v="348.5"/>
        <n v="132.15"/>
        <n v="531.74"/>
        <n v="993.24"/>
        <n v="660.66"/>
        <n v="1099.28"/>
        <n v="972.7"/>
        <n v="1286.6400000000001"/>
        <n v="824.28"/>
        <n v="265.64"/>
        <n v="546.86"/>
        <n v="658.5"/>
        <n v="427.6"/>
        <n v="641.36"/>
        <n v="795.24"/>
        <n v="3334"/>
        <n v="355.09"/>
        <n v="632.4"/>
        <n v="133.3899999999999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6999999999998"/>
        <n v="1702.4"/>
        <n v="1719.66"/>
        <n v="123.28"/>
        <n v="70.819999999999993"/>
        <n v="1293.3800000000001"/>
        <n v="1026.8399999999999"/>
        <n v="2772.28"/>
        <n v="1474.29"/>
        <n v="1199.48"/>
        <n v="1300.5"/>
        <n v="628.43999999999994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000000000005"/>
        <n v="309.88"/>
        <n v="252.93"/>
        <n v="937.8"/>
        <n v="356.81"/>
        <n v="839.96"/>
        <n v="1979.64"/>
        <n v="672.64"/>
        <n v="1062.98"/>
        <n v="1765.32"/>
        <n v="754.43999999999994"/>
        <n v="684.65"/>
        <n v="195.86"/>
        <n v="151.02000000000001"/>
        <n v="3390.95"/>
        <n v="1662.75"/>
        <n v="2307.48"/>
        <n v="1633.44"/>
        <n v="950.55000000000007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00000000001"/>
        <n v="1505.46"/>
        <n v="1105.6600000000001"/>
        <n v="1495.98"/>
        <n v="2780.4"/>
        <n v="381.61"/>
        <n v="2539.6999999999998"/>
        <n v="1714.59"/>
        <n v="2107.1999999999998"/>
        <n v="1176.5999999999999"/>
        <n v="355.15"/>
        <n v="1390.58"/>
        <n v="1210.5999999999999"/>
        <n v="1216.08"/>
        <n v="688.36"/>
        <n v="2786.84"/>
        <n v="595.89"/>
        <n v="2138.2800000000002"/>
        <n v="2763.12"/>
        <n v="904.65000000000009"/>
        <n v="109.68"/>
        <n v="1866.8"/>
        <n v="541.64"/>
        <n v="11.39"/>
        <n v="448.74"/>
        <n v="918.87000000000012"/>
        <n v="1577.85"/>
        <n v="671.37"/>
        <n v="973.41000000000008"/>
        <n v="185.74"/>
        <n v="662.84"/>
        <n v="525.42999999999995"/>
        <n v="1394.38"/>
        <n v="2073.6"/>
        <n v="395.88"/>
        <n v="208.36"/>
        <n v="667.02"/>
        <n v="275.22000000000003"/>
        <n v="427.66"/>
        <n v="127.55"/>
        <n v="70.239999999999995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1999999999994"/>
        <n v="107.04"/>
        <n v="1325.06"/>
        <n v="873.68"/>
        <n v="1050.08"/>
        <n v="2242.3200000000002"/>
        <m/>
      </sharedItems>
    </cacheField>
    <cacheField name="Outlier_Check" numFmtId="0">
      <sharedItems containsBlank="1"/>
    </cacheField>
    <cacheField name="Years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1">
  <r>
    <x v="0"/>
    <x v="0"/>
    <s v="C72649"/>
    <x v="0"/>
    <n v="5"/>
    <n v="570.62"/>
    <s v="928 Main St"/>
    <x v="0"/>
    <x v="0"/>
    <s v="TRK37947903"/>
    <n v="7"/>
    <s v="SAVE10"/>
    <s v="Instagram"/>
    <x v="0"/>
    <s v="Normal"/>
  </r>
  <r>
    <x v="1"/>
    <x v="1"/>
    <s v="C75739"/>
    <x v="1"/>
    <n v="2"/>
    <n v="151.35"/>
    <s v="823 Main St"/>
    <x v="1"/>
    <x v="0"/>
    <s v="TRK91186779"/>
    <n v="3"/>
    <s v="SAVE10"/>
    <s v="Referral"/>
    <x v="1"/>
    <s v="Normal"/>
  </r>
  <r>
    <x v="2"/>
    <x v="2"/>
    <s v="C81728"/>
    <x v="2"/>
    <n v="5"/>
    <n v="550.67999999999995"/>
    <s v="512 Main St"/>
    <x v="2"/>
    <x v="1"/>
    <s v="TRK42903982"/>
    <n v="8"/>
    <s v="FREESHIP"/>
    <s v="Email"/>
    <x v="2"/>
    <s v="Normal"/>
  </r>
  <r>
    <x v="3"/>
    <x v="3"/>
    <s v="C33540"/>
    <x v="3"/>
    <n v="1"/>
    <n v="273.19"/>
    <s v="275 Main St"/>
    <x v="0"/>
    <x v="2"/>
    <s v="TRK62788070"/>
    <n v="5"/>
    <s v="SAVE10"/>
    <s v="Facebook"/>
    <x v="3"/>
    <s v="Normal"/>
  </r>
  <r>
    <x v="4"/>
    <x v="4"/>
    <s v="C81840"/>
    <x v="4"/>
    <n v="4"/>
    <n v="626.01"/>
    <s v="668 Main St"/>
    <x v="1"/>
    <x v="3"/>
    <s v="TRK29241424"/>
    <n v="8"/>
    <s v="SAVE10"/>
    <s v="Email"/>
    <x v="4"/>
    <s v="Normal"/>
  </r>
  <r>
    <x v="5"/>
    <x v="5"/>
    <s v="C37249"/>
    <x v="1"/>
    <n v="2"/>
    <n v="245.86"/>
    <s v="934 Main St"/>
    <x v="2"/>
    <x v="0"/>
    <s v="TRK72976927"/>
    <n v="4"/>
    <s v="SAVE10"/>
    <s v="Instagram"/>
    <x v="5"/>
    <s v="Normal"/>
  </r>
  <r>
    <x v="6"/>
    <x v="6"/>
    <s v="C83492"/>
    <x v="5"/>
    <n v="1"/>
    <n v="664.42"/>
    <s v="986 Main St"/>
    <x v="3"/>
    <x v="2"/>
    <s v="TRK96417362"/>
    <n v="6"/>
    <s v="SAVE10"/>
    <s v="Facebook"/>
    <x v="6"/>
    <s v="Normal"/>
  </r>
  <r>
    <x v="7"/>
    <x v="7"/>
    <s v="C41460"/>
    <x v="0"/>
    <n v="5"/>
    <n v="149.55000000000001"/>
    <s v="706 Main St"/>
    <x v="4"/>
    <x v="0"/>
    <s v="TRK78809193"/>
    <n v="9"/>
    <s v="FREESHIP"/>
    <s v="Facebook"/>
    <x v="7"/>
    <s v="Normal"/>
  </r>
  <r>
    <x v="8"/>
    <x v="8"/>
    <s v="C26817"/>
    <x v="1"/>
    <n v="2"/>
    <n v="134.28"/>
    <s v="904 Main St"/>
    <x v="3"/>
    <x v="1"/>
    <s v="TRK61042692"/>
    <n v="2"/>
    <s v="No Coupon"/>
    <s v="Email"/>
    <x v="8"/>
    <s v="Normal"/>
  </r>
  <r>
    <x v="9"/>
    <x v="9"/>
    <s v="C31946"/>
    <x v="6"/>
    <n v="4"/>
    <n v="509.38"/>
    <s v="102 Main St"/>
    <x v="2"/>
    <x v="0"/>
    <s v="TRK33478363"/>
    <n v="6"/>
    <s v="SAVE10"/>
    <s v="Google"/>
    <x v="9"/>
    <s v="Normal"/>
  </r>
  <r>
    <x v="10"/>
    <x v="10"/>
    <s v="C43443"/>
    <x v="2"/>
    <n v="5"/>
    <n v="625.97"/>
    <s v="333 Main St"/>
    <x v="2"/>
    <x v="2"/>
    <s v="TRK98859248"/>
    <n v="9"/>
    <s v="WINTER15"/>
    <s v="Instagram"/>
    <x v="10"/>
    <s v="Normal"/>
  </r>
  <r>
    <x v="11"/>
    <x v="11"/>
    <s v="C93861"/>
    <x v="0"/>
    <n v="3"/>
    <n v="49.14"/>
    <s v="831 Main St"/>
    <x v="1"/>
    <x v="2"/>
    <s v="TRK48234646"/>
    <n v="7"/>
    <s v="SAVE10"/>
    <s v="Email"/>
    <x v="11"/>
    <s v="Normal"/>
  </r>
  <r>
    <x v="12"/>
    <x v="12"/>
    <s v="C38785"/>
    <x v="0"/>
    <n v="2"/>
    <n v="180.5"/>
    <s v="179 Main St"/>
    <x v="0"/>
    <x v="4"/>
    <s v="TRK20419991"/>
    <n v="6"/>
    <s v="FREESHIP"/>
    <s v="Referral"/>
    <x v="12"/>
    <s v="Normal"/>
  </r>
  <r>
    <x v="13"/>
    <x v="13"/>
    <s v="C88348"/>
    <x v="5"/>
    <n v="3"/>
    <n v="201.49"/>
    <s v="903 Main St"/>
    <x v="2"/>
    <x v="2"/>
    <s v="TRK81913874"/>
    <n v="4"/>
    <s v="FREESHIP"/>
    <s v="Facebook"/>
    <x v="13"/>
    <s v="Normal"/>
  </r>
  <r>
    <x v="14"/>
    <x v="14"/>
    <s v="C98474"/>
    <x v="2"/>
    <n v="2"/>
    <n v="393.33"/>
    <s v="980 Main St"/>
    <x v="0"/>
    <x v="4"/>
    <s v="TRK79186539"/>
    <n v="3"/>
    <s v="SAVE10"/>
    <s v="Instagram"/>
    <x v="14"/>
    <s v="Normal"/>
  </r>
  <r>
    <x v="15"/>
    <x v="15"/>
    <s v="C39416"/>
    <x v="4"/>
    <n v="1"/>
    <n v="473.96"/>
    <s v="942 Main St"/>
    <x v="4"/>
    <x v="3"/>
    <s v="TRK54930938"/>
    <n v="3"/>
    <s v="No Coupon"/>
    <s v="Google"/>
    <x v="15"/>
    <s v="Normal"/>
  </r>
  <r>
    <x v="16"/>
    <x v="16"/>
    <s v="C28976"/>
    <x v="4"/>
    <n v="2"/>
    <n v="533.80999999999995"/>
    <s v="914 Main St"/>
    <x v="2"/>
    <x v="4"/>
    <s v="TRK13194259"/>
    <n v="3"/>
    <s v="FREESHIP"/>
    <s v="Email"/>
    <x v="16"/>
    <s v="Normal"/>
  </r>
  <r>
    <x v="17"/>
    <x v="17"/>
    <s v="C60672"/>
    <x v="2"/>
    <n v="1"/>
    <n v="423.4"/>
    <s v="382 Main St"/>
    <x v="0"/>
    <x v="0"/>
    <s v="TRK11972116"/>
    <n v="3"/>
    <s v="No Coupon"/>
    <s v="Referral"/>
    <x v="17"/>
    <s v="Normal"/>
  </r>
  <r>
    <x v="18"/>
    <x v="18"/>
    <s v="C84329"/>
    <x v="6"/>
    <n v="1"/>
    <n v="431.44"/>
    <s v="891 Main St"/>
    <x v="3"/>
    <x v="4"/>
    <s v="TRK65191045"/>
    <n v="3"/>
    <s v="SAVE10"/>
    <s v="Facebook"/>
    <x v="18"/>
    <s v="Normal"/>
  </r>
  <r>
    <x v="19"/>
    <x v="19"/>
    <s v="C14552"/>
    <x v="0"/>
    <n v="5"/>
    <n v="224"/>
    <s v="273 Main St"/>
    <x v="4"/>
    <x v="2"/>
    <s v="TRK59101365"/>
    <n v="9"/>
    <s v="SAVE10"/>
    <s v="Google"/>
    <x v="19"/>
    <s v="Normal"/>
  </r>
  <r>
    <x v="20"/>
    <x v="20"/>
    <s v="C54829"/>
    <x v="3"/>
    <n v="5"/>
    <n v="62.51"/>
    <s v="587 Main St"/>
    <x v="4"/>
    <x v="4"/>
    <s v="TRK16718651"/>
    <n v="9"/>
    <s v="WINTER15"/>
    <s v="Instagram"/>
    <x v="20"/>
    <s v="Normal"/>
  </r>
  <r>
    <x v="21"/>
    <x v="21"/>
    <s v="C99023"/>
    <x v="0"/>
    <n v="4"/>
    <n v="342.95"/>
    <s v="569 Main St"/>
    <x v="4"/>
    <x v="3"/>
    <s v="TRK52646983"/>
    <n v="6"/>
    <s v="No Coupon"/>
    <s v="Google"/>
    <x v="21"/>
    <s v="Normal"/>
  </r>
  <r>
    <x v="22"/>
    <x v="22"/>
    <s v="C34416"/>
    <x v="0"/>
    <n v="2"/>
    <n v="49.62"/>
    <s v="633 Main St"/>
    <x v="1"/>
    <x v="4"/>
    <s v="TRK75937350"/>
    <n v="2"/>
    <s v="SAVE10"/>
    <s v="Google"/>
    <x v="22"/>
    <s v="Normal"/>
  </r>
  <r>
    <x v="23"/>
    <x v="23"/>
    <s v="C42372"/>
    <x v="1"/>
    <n v="4"/>
    <n v="273.25"/>
    <s v="755 Main St"/>
    <x v="0"/>
    <x v="1"/>
    <s v="TRK36168083"/>
    <n v="5"/>
    <s v="FREESHIP"/>
    <s v="Referral"/>
    <x v="23"/>
    <s v="Normal"/>
  </r>
  <r>
    <x v="24"/>
    <x v="24"/>
    <s v="C17470"/>
    <x v="5"/>
    <n v="2"/>
    <n v="230.95"/>
    <s v="956 Main St"/>
    <x v="1"/>
    <x v="3"/>
    <s v="TRK28775057"/>
    <n v="3"/>
    <s v="WINTER15"/>
    <s v="Referral"/>
    <x v="24"/>
    <s v="Normal"/>
  </r>
  <r>
    <x v="25"/>
    <x v="25"/>
    <s v="C42577"/>
    <x v="0"/>
    <n v="1"/>
    <n v="399.98"/>
    <s v="709 Main St"/>
    <x v="0"/>
    <x v="3"/>
    <s v="TRK69423327"/>
    <n v="3"/>
    <s v="WINTER15"/>
    <s v="Email"/>
    <x v="25"/>
    <s v="Normal"/>
  </r>
  <r>
    <x v="26"/>
    <x v="26"/>
    <s v="C21944"/>
    <x v="5"/>
    <n v="5"/>
    <n v="59.55"/>
    <s v="296 Main St"/>
    <x v="1"/>
    <x v="3"/>
    <s v="TRK80276812"/>
    <n v="6"/>
    <s v="No Coupon"/>
    <s v="Referral"/>
    <x v="26"/>
    <s v="Normal"/>
  </r>
  <r>
    <x v="27"/>
    <x v="27"/>
    <s v="C97593"/>
    <x v="4"/>
    <n v="1"/>
    <n v="472.74"/>
    <s v="881 Main St"/>
    <x v="1"/>
    <x v="0"/>
    <s v="TRK89117573"/>
    <n v="6"/>
    <s v="WINTER15"/>
    <s v="Google"/>
    <x v="27"/>
    <s v="Normal"/>
  </r>
  <r>
    <x v="28"/>
    <x v="9"/>
    <s v="C59823"/>
    <x v="1"/>
    <n v="4"/>
    <n v="160.07"/>
    <s v="568 Main St"/>
    <x v="1"/>
    <x v="4"/>
    <s v="TRK65895539"/>
    <n v="5"/>
    <s v="No Coupon"/>
    <s v="Email"/>
    <x v="28"/>
    <s v="Normal"/>
  </r>
  <r>
    <x v="29"/>
    <x v="28"/>
    <s v="C33260"/>
    <x v="6"/>
    <n v="3"/>
    <n v="423.53"/>
    <s v="930 Main St"/>
    <x v="2"/>
    <x v="3"/>
    <s v="TRK59744090"/>
    <n v="6"/>
    <s v="SAVE10"/>
    <s v="Referral"/>
    <x v="29"/>
    <s v="Normal"/>
  </r>
  <r>
    <x v="30"/>
    <x v="29"/>
    <s v="C44267"/>
    <x v="0"/>
    <n v="2"/>
    <n v="426.7"/>
    <s v="895 Main St"/>
    <x v="1"/>
    <x v="4"/>
    <s v="TRK54751444"/>
    <n v="5"/>
    <s v="SAVE10"/>
    <s v="Referral"/>
    <x v="30"/>
    <s v="Normal"/>
  </r>
  <r>
    <x v="31"/>
    <x v="30"/>
    <s v="C26445"/>
    <x v="3"/>
    <n v="3"/>
    <n v="500.08"/>
    <s v="996 Main St"/>
    <x v="0"/>
    <x v="2"/>
    <s v="TRK31229981"/>
    <n v="6"/>
    <s v="No Coupon"/>
    <s v="Facebook"/>
    <x v="31"/>
    <s v="Normal"/>
  </r>
  <r>
    <x v="32"/>
    <x v="31"/>
    <s v="C12388"/>
    <x v="2"/>
    <n v="5"/>
    <n v="536.72"/>
    <s v="830 Main St"/>
    <x v="4"/>
    <x v="3"/>
    <s v="TRK99261395"/>
    <n v="10"/>
    <s v="No Coupon"/>
    <s v="Email"/>
    <x v="32"/>
    <s v="Normal"/>
  </r>
  <r>
    <x v="33"/>
    <x v="32"/>
    <s v="C52184"/>
    <x v="3"/>
    <n v="1"/>
    <n v="162.77000000000001"/>
    <s v="912 Main St"/>
    <x v="1"/>
    <x v="1"/>
    <s v="TRK73312471"/>
    <n v="4"/>
    <s v="WINTER15"/>
    <s v="Facebook"/>
    <x v="33"/>
    <s v="Normal"/>
  </r>
  <r>
    <x v="34"/>
    <x v="33"/>
    <s v="C67195"/>
    <x v="3"/>
    <n v="4"/>
    <n v="576.52"/>
    <s v="926 Main St"/>
    <x v="2"/>
    <x v="4"/>
    <s v="TRK55467915"/>
    <n v="5"/>
    <s v="WINTER15"/>
    <s v="Facebook"/>
    <x v="34"/>
    <s v="Normal"/>
  </r>
  <r>
    <x v="35"/>
    <x v="34"/>
    <s v="C50304"/>
    <x v="0"/>
    <n v="2"/>
    <n v="465.15"/>
    <s v="128 Main St"/>
    <x v="1"/>
    <x v="0"/>
    <s v="TRK46850888"/>
    <n v="2"/>
    <s v="SAVE10"/>
    <s v="Facebook"/>
    <x v="35"/>
    <s v="Normal"/>
  </r>
  <r>
    <x v="36"/>
    <x v="4"/>
    <s v="C59337"/>
    <x v="5"/>
    <n v="2"/>
    <n v="534.42999999999995"/>
    <s v="465 Main St"/>
    <x v="0"/>
    <x v="4"/>
    <s v="TRK50961250"/>
    <n v="5"/>
    <s v="No Coupon"/>
    <s v="Facebook"/>
    <x v="36"/>
    <s v="Normal"/>
  </r>
  <r>
    <x v="37"/>
    <x v="35"/>
    <s v="C10054"/>
    <x v="5"/>
    <n v="2"/>
    <n v="76.739999999999995"/>
    <s v="409 Main St"/>
    <x v="4"/>
    <x v="2"/>
    <s v="TRK94005261"/>
    <n v="7"/>
    <s v="SAVE10"/>
    <s v="Instagram"/>
    <x v="37"/>
    <s v="Normal"/>
  </r>
  <r>
    <x v="38"/>
    <x v="36"/>
    <s v="C15924"/>
    <x v="5"/>
    <n v="1"/>
    <n v="245.89"/>
    <s v="549 Main St"/>
    <x v="0"/>
    <x v="3"/>
    <s v="TRK14835975"/>
    <n v="3"/>
    <s v="SAVE10"/>
    <s v="Google"/>
    <x v="38"/>
    <s v="Normal"/>
  </r>
  <r>
    <x v="39"/>
    <x v="37"/>
    <s v="C96664"/>
    <x v="4"/>
    <n v="3"/>
    <n v="256.45999999999998"/>
    <s v="666 Main St"/>
    <x v="2"/>
    <x v="3"/>
    <s v="TRK85508960"/>
    <n v="4"/>
    <s v="SAVE10"/>
    <s v="Referral"/>
    <x v="39"/>
    <s v="Normal"/>
  </r>
  <r>
    <x v="40"/>
    <x v="38"/>
    <s v="C84766"/>
    <x v="6"/>
    <n v="2"/>
    <n v="344.02"/>
    <s v="267 Main St"/>
    <x v="1"/>
    <x v="3"/>
    <s v="TRK78967923"/>
    <n v="4"/>
    <s v="FREESHIP"/>
    <s v="Instagram"/>
    <x v="40"/>
    <s v="Normal"/>
  </r>
  <r>
    <x v="41"/>
    <x v="39"/>
    <s v="C20212"/>
    <x v="0"/>
    <n v="3"/>
    <n v="611.45000000000005"/>
    <s v="657 Main St"/>
    <x v="3"/>
    <x v="4"/>
    <s v="TRK69733327"/>
    <n v="4"/>
    <s v="FREESHIP"/>
    <s v="Instagram"/>
    <x v="41"/>
    <s v="Normal"/>
  </r>
  <r>
    <x v="42"/>
    <x v="40"/>
    <s v="C28712"/>
    <x v="4"/>
    <n v="2"/>
    <n v="151.66"/>
    <s v="980 Main St"/>
    <x v="4"/>
    <x v="1"/>
    <s v="TRK40772558"/>
    <n v="6"/>
    <s v="No Coupon"/>
    <s v="Instagram"/>
    <x v="42"/>
    <s v="Normal"/>
  </r>
  <r>
    <x v="43"/>
    <x v="41"/>
    <s v="C60572"/>
    <x v="3"/>
    <n v="3"/>
    <n v="499.21"/>
    <s v="871 Main St"/>
    <x v="1"/>
    <x v="1"/>
    <s v="TRK20351666"/>
    <n v="8"/>
    <s v="No Coupon"/>
    <s v="Instagram"/>
    <x v="43"/>
    <s v="Normal"/>
  </r>
  <r>
    <x v="44"/>
    <x v="42"/>
    <s v="C73225"/>
    <x v="1"/>
    <n v="2"/>
    <n v="550.17999999999995"/>
    <s v="996 Main St"/>
    <x v="3"/>
    <x v="2"/>
    <s v="TRK73848522"/>
    <n v="3"/>
    <s v="FREESHIP"/>
    <s v="Referral"/>
    <x v="44"/>
    <s v="Normal"/>
  </r>
  <r>
    <x v="45"/>
    <x v="43"/>
    <s v="C17388"/>
    <x v="3"/>
    <n v="1"/>
    <n v="317.25"/>
    <s v="157 Main St"/>
    <x v="0"/>
    <x v="2"/>
    <s v="TRK47077395"/>
    <n v="1"/>
    <s v="SAVE10"/>
    <s v="Facebook"/>
    <x v="45"/>
    <s v="Normal"/>
  </r>
  <r>
    <x v="46"/>
    <x v="44"/>
    <s v="C43212"/>
    <x v="0"/>
    <n v="4"/>
    <n v="550.14"/>
    <s v="223 Main St"/>
    <x v="0"/>
    <x v="4"/>
    <s v="TRK25100762"/>
    <n v="4"/>
    <s v="FREESHIP"/>
    <s v="Instagram"/>
    <x v="46"/>
    <s v="Normal"/>
  </r>
  <r>
    <x v="47"/>
    <x v="45"/>
    <s v="C38134"/>
    <x v="6"/>
    <n v="2"/>
    <n v="209.94"/>
    <s v="323 Main St"/>
    <x v="2"/>
    <x v="2"/>
    <s v="TRK42450754"/>
    <n v="3"/>
    <s v="FREESHIP"/>
    <s v="Email"/>
    <x v="47"/>
    <s v="Normal"/>
  </r>
  <r>
    <x v="48"/>
    <x v="46"/>
    <s v="C12408"/>
    <x v="0"/>
    <n v="2"/>
    <n v="80.77"/>
    <s v="464 Main St"/>
    <x v="0"/>
    <x v="0"/>
    <s v="TRK38938858"/>
    <n v="4"/>
    <s v="No Coupon"/>
    <s v="Google"/>
    <x v="48"/>
    <s v="Normal"/>
  </r>
  <r>
    <x v="49"/>
    <x v="47"/>
    <s v="C11985"/>
    <x v="4"/>
    <n v="1"/>
    <n v="30.44"/>
    <s v="633 Main St"/>
    <x v="2"/>
    <x v="0"/>
    <s v="TRK53272402"/>
    <n v="1"/>
    <s v="SAVE10"/>
    <s v="Email"/>
    <x v="49"/>
    <s v="Normal"/>
  </r>
  <r>
    <x v="50"/>
    <x v="48"/>
    <s v="C96494"/>
    <x v="2"/>
    <n v="1"/>
    <n v="179.22"/>
    <s v="446 Main St"/>
    <x v="1"/>
    <x v="1"/>
    <s v="TRK14675049"/>
    <n v="6"/>
    <s v="FREESHIP"/>
    <s v="Instagram"/>
    <x v="50"/>
    <s v="Normal"/>
  </r>
  <r>
    <x v="51"/>
    <x v="49"/>
    <s v="C36778"/>
    <x v="2"/>
    <n v="1"/>
    <n v="388.33"/>
    <s v="434 Main St"/>
    <x v="4"/>
    <x v="2"/>
    <s v="TRK67610289"/>
    <n v="2"/>
    <s v="SAVE10"/>
    <s v="Facebook"/>
    <x v="51"/>
    <s v="Normal"/>
  </r>
  <r>
    <x v="52"/>
    <x v="50"/>
    <s v="C30513"/>
    <x v="2"/>
    <n v="1"/>
    <n v="586.44000000000005"/>
    <s v="232 Main St"/>
    <x v="1"/>
    <x v="2"/>
    <s v="TRK64320429"/>
    <n v="5"/>
    <s v="SAVE10"/>
    <s v="Facebook"/>
    <x v="52"/>
    <s v="Normal"/>
  </r>
  <r>
    <x v="53"/>
    <x v="51"/>
    <s v="C67551"/>
    <x v="1"/>
    <n v="4"/>
    <n v="488.78"/>
    <s v="512 Main St"/>
    <x v="1"/>
    <x v="2"/>
    <s v="TRK94992552"/>
    <n v="5"/>
    <s v="FREESHIP"/>
    <s v="Google"/>
    <x v="53"/>
    <s v="Normal"/>
  </r>
  <r>
    <x v="54"/>
    <x v="52"/>
    <s v="C48120"/>
    <x v="3"/>
    <n v="1"/>
    <n v="280.25"/>
    <s v="623 Main St"/>
    <x v="1"/>
    <x v="4"/>
    <s v="TRK11014449"/>
    <n v="5"/>
    <s v="WINTER15"/>
    <s v="Email"/>
    <x v="54"/>
    <s v="Normal"/>
  </r>
  <r>
    <x v="55"/>
    <x v="53"/>
    <s v="C95984"/>
    <x v="4"/>
    <n v="3"/>
    <n v="344.4"/>
    <s v="565 Main St"/>
    <x v="1"/>
    <x v="1"/>
    <s v="TRK67434829"/>
    <n v="3"/>
    <s v="No Coupon"/>
    <s v="Facebook"/>
    <x v="55"/>
    <s v="Normal"/>
  </r>
  <r>
    <x v="56"/>
    <x v="54"/>
    <s v="C54298"/>
    <x v="2"/>
    <n v="3"/>
    <n v="479.21"/>
    <s v="566 Main St"/>
    <x v="4"/>
    <x v="1"/>
    <s v="TRK62902341"/>
    <n v="5"/>
    <s v="WINTER15"/>
    <s v="Referral"/>
    <x v="56"/>
    <s v="Normal"/>
  </r>
  <r>
    <x v="57"/>
    <x v="55"/>
    <s v="C88036"/>
    <x v="4"/>
    <n v="5"/>
    <n v="314.27"/>
    <s v="842 Main St"/>
    <x v="4"/>
    <x v="2"/>
    <s v="TRK52470128"/>
    <n v="6"/>
    <s v="SAVE10"/>
    <s v="Instagram"/>
    <x v="57"/>
    <s v="Normal"/>
  </r>
  <r>
    <x v="58"/>
    <x v="56"/>
    <s v="C60190"/>
    <x v="1"/>
    <n v="4"/>
    <n v="474.69"/>
    <s v="202 Main St"/>
    <x v="3"/>
    <x v="1"/>
    <s v="TRK70857868"/>
    <n v="6"/>
    <s v="SAVE10"/>
    <s v="Google"/>
    <x v="58"/>
    <s v="Normal"/>
  </r>
  <r>
    <x v="59"/>
    <x v="57"/>
    <s v="C97603"/>
    <x v="3"/>
    <n v="4"/>
    <n v="593.27"/>
    <s v="811 Main St"/>
    <x v="1"/>
    <x v="0"/>
    <s v="TRK47055028"/>
    <n v="5"/>
    <s v="No Coupon"/>
    <s v="Facebook"/>
    <x v="59"/>
    <s v="Normal"/>
  </r>
  <r>
    <x v="60"/>
    <x v="58"/>
    <s v="C39256"/>
    <x v="6"/>
    <n v="1"/>
    <n v="417.1"/>
    <s v="634 Main St"/>
    <x v="0"/>
    <x v="2"/>
    <s v="TRK23412025"/>
    <n v="3"/>
    <s v="FREESHIP"/>
    <s v="Referral"/>
    <x v="60"/>
    <s v="Normal"/>
  </r>
  <r>
    <x v="61"/>
    <x v="59"/>
    <s v="C61618"/>
    <x v="6"/>
    <n v="4"/>
    <n v="122.2"/>
    <s v="104 Main St"/>
    <x v="4"/>
    <x v="3"/>
    <s v="TRK43458485"/>
    <n v="7"/>
    <s v="FREESHIP"/>
    <s v="Facebook"/>
    <x v="61"/>
    <s v="Normal"/>
  </r>
  <r>
    <x v="62"/>
    <x v="60"/>
    <s v="C36497"/>
    <x v="6"/>
    <n v="2"/>
    <n v="43.15"/>
    <s v="691 Main St"/>
    <x v="0"/>
    <x v="4"/>
    <s v="TRK12102911"/>
    <n v="3"/>
    <s v="WINTER15"/>
    <s v="Email"/>
    <x v="62"/>
    <s v="Normal"/>
  </r>
  <r>
    <x v="63"/>
    <x v="61"/>
    <s v="C96695"/>
    <x v="3"/>
    <n v="1"/>
    <n v="564.86"/>
    <s v="813 Main St"/>
    <x v="0"/>
    <x v="0"/>
    <s v="TRK64283851"/>
    <n v="6"/>
    <s v="WINTER15"/>
    <s v="Referral"/>
    <x v="63"/>
    <s v="Normal"/>
  </r>
  <r>
    <x v="64"/>
    <x v="62"/>
    <s v="C49720"/>
    <x v="4"/>
    <n v="3"/>
    <n v="130.61000000000001"/>
    <s v="752 Main St"/>
    <x v="0"/>
    <x v="1"/>
    <s v="TRK55785217"/>
    <n v="4"/>
    <s v="FREESHIP"/>
    <s v="Facebook"/>
    <x v="64"/>
    <s v="Normal"/>
  </r>
  <r>
    <x v="65"/>
    <x v="63"/>
    <s v="C97735"/>
    <x v="0"/>
    <n v="5"/>
    <n v="81.7"/>
    <s v="385 Main St"/>
    <x v="2"/>
    <x v="3"/>
    <s v="TRK13743703"/>
    <n v="6"/>
    <s v="No Coupon"/>
    <s v="Instagram"/>
    <x v="65"/>
    <s v="Normal"/>
  </r>
  <r>
    <x v="66"/>
    <x v="64"/>
    <s v="C18104"/>
    <x v="3"/>
    <n v="5"/>
    <n v="127.18"/>
    <s v="715 Main St"/>
    <x v="4"/>
    <x v="1"/>
    <s v="TRK15488568"/>
    <n v="9"/>
    <s v="SAVE10"/>
    <s v="Referral"/>
    <x v="66"/>
    <s v="Normal"/>
  </r>
  <r>
    <x v="67"/>
    <x v="65"/>
    <s v="C25587"/>
    <x v="4"/>
    <n v="4"/>
    <n v="12.1"/>
    <s v="440 Main St"/>
    <x v="0"/>
    <x v="1"/>
    <s v="TRK55105323"/>
    <n v="8"/>
    <s v="No Coupon"/>
    <s v="Google"/>
    <x v="67"/>
    <s v="Normal"/>
  </r>
  <r>
    <x v="68"/>
    <x v="66"/>
    <s v="C41598"/>
    <x v="3"/>
    <n v="3"/>
    <n v="490.92"/>
    <s v="709 Main St"/>
    <x v="2"/>
    <x v="4"/>
    <s v="TRK81665940"/>
    <n v="5"/>
    <s v="FREESHIP"/>
    <s v="Email"/>
    <x v="68"/>
    <s v="Normal"/>
  </r>
  <r>
    <x v="69"/>
    <x v="67"/>
    <s v="C43338"/>
    <x v="0"/>
    <n v="3"/>
    <n v="478.65"/>
    <s v="552 Main St"/>
    <x v="1"/>
    <x v="0"/>
    <s v="TRK35241775"/>
    <n v="4"/>
    <s v="No Coupon"/>
    <s v="Referral"/>
    <x v="69"/>
    <s v="Normal"/>
  </r>
  <r>
    <x v="70"/>
    <x v="68"/>
    <s v="C25123"/>
    <x v="6"/>
    <n v="1"/>
    <n v="629.21"/>
    <s v="384 Main St"/>
    <x v="3"/>
    <x v="4"/>
    <s v="TRK27812282"/>
    <n v="2"/>
    <s v="FREESHIP"/>
    <s v="Instagram"/>
    <x v="70"/>
    <s v="Normal"/>
  </r>
  <r>
    <x v="71"/>
    <x v="69"/>
    <s v="C37454"/>
    <x v="0"/>
    <n v="3"/>
    <n v="434.45"/>
    <s v="923 Main St"/>
    <x v="2"/>
    <x v="4"/>
    <s v="TRK28252730"/>
    <n v="4"/>
    <s v="No Coupon"/>
    <s v="Referral"/>
    <x v="71"/>
    <s v="Normal"/>
  </r>
  <r>
    <x v="72"/>
    <x v="70"/>
    <s v="C19451"/>
    <x v="2"/>
    <n v="4"/>
    <n v="589.44000000000005"/>
    <s v="942 Main St"/>
    <x v="3"/>
    <x v="2"/>
    <s v="TRK87787793"/>
    <n v="5"/>
    <s v="No Coupon"/>
    <s v="Facebook"/>
    <x v="72"/>
    <s v="Normal"/>
  </r>
  <r>
    <x v="73"/>
    <x v="71"/>
    <s v="C17269"/>
    <x v="0"/>
    <n v="4"/>
    <n v="433.45"/>
    <s v="129 Main St"/>
    <x v="3"/>
    <x v="1"/>
    <s v="TRK79608389"/>
    <n v="4"/>
    <s v="No Coupon"/>
    <s v="Facebook"/>
    <x v="73"/>
    <s v="Normal"/>
  </r>
  <r>
    <x v="74"/>
    <x v="72"/>
    <s v="C25382"/>
    <x v="1"/>
    <n v="5"/>
    <n v="90.87"/>
    <s v="622 Main St"/>
    <x v="4"/>
    <x v="4"/>
    <s v="TRK64691287"/>
    <n v="5"/>
    <s v="No Coupon"/>
    <s v="Instagram"/>
    <x v="74"/>
    <s v="Normal"/>
  </r>
  <r>
    <x v="75"/>
    <x v="73"/>
    <s v="C80651"/>
    <x v="2"/>
    <n v="3"/>
    <n v="398.17"/>
    <s v="917 Main St"/>
    <x v="0"/>
    <x v="3"/>
    <s v="TRK14846720"/>
    <n v="5"/>
    <s v="SAVE10"/>
    <s v="Email"/>
    <x v="75"/>
    <s v="Normal"/>
  </r>
  <r>
    <x v="76"/>
    <x v="74"/>
    <s v="C58638"/>
    <x v="5"/>
    <n v="4"/>
    <n v="382.88"/>
    <s v="239 Main St"/>
    <x v="4"/>
    <x v="1"/>
    <s v="TRK38224871"/>
    <n v="6"/>
    <s v="WINTER15"/>
    <s v="Email"/>
    <x v="76"/>
    <s v="Normal"/>
  </r>
  <r>
    <x v="77"/>
    <x v="75"/>
    <s v="C50121"/>
    <x v="1"/>
    <n v="1"/>
    <n v="583.17999999999995"/>
    <s v="348 Main St"/>
    <x v="2"/>
    <x v="2"/>
    <s v="TRK79810059"/>
    <n v="5"/>
    <s v="No Coupon"/>
    <s v="Google"/>
    <x v="77"/>
    <s v="Normal"/>
  </r>
  <r>
    <x v="78"/>
    <x v="76"/>
    <s v="C32029"/>
    <x v="4"/>
    <n v="4"/>
    <n v="175.36"/>
    <s v="146 Main St"/>
    <x v="0"/>
    <x v="3"/>
    <s v="TRK68535532"/>
    <n v="4"/>
    <s v="FREESHIP"/>
    <s v="Instagram"/>
    <x v="78"/>
    <s v="Normal"/>
  </r>
  <r>
    <x v="79"/>
    <x v="77"/>
    <s v="C76700"/>
    <x v="2"/>
    <n v="2"/>
    <n v="311.91000000000003"/>
    <s v="103 Main St"/>
    <x v="1"/>
    <x v="0"/>
    <s v="TRK13036341"/>
    <n v="2"/>
    <s v="No Coupon"/>
    <s v="Facebook"/>
    <x v="79"/>
    <s v="Normal"/>
  </r>
  <r>
    <x v="80"/>
    <x v="78"/>
    <s v="C29041"/>
    <x v="1"/>
    <n v="3"/>
    <n v="589.55999999999995"/>
    <s v="591 Main St"/>
    <x v="1"/>
    <x v="2"/>
    <s v="TRK28840655"/>
    <n v="6"/>
    <s v="No Coupon"/>
    <s v="Facebook"/>
    <x v="80"/>
    <s v="Normal"/>
  </r>
  <r>
    <x v="81"/>
    <x v="79"/>
    <s v="C29314"/>
    <x v="0"/>
    <n v="2"/>
    <n v="394.3"/>
    <s v="496 Main St"/>
    <x v="4"/>
    <x v="0"/>
    <s v="TRK59876213"/>
    <n v="6"/>
    <s v="FREESHIP"/>
    <s v="Email"/>
    <x v="81"/>
    <s v="Normal"/>
  </r>
  <r>
    <x v="82"/>
    <x v="80"/>
    <s v="C65799"/>
    <x v="2"/>
    <n v="4"/>
    <n v="565.20000000000005"/>
    <s v="971 Main St"/>
    <x v="0"/>
    <x v="0"/>
    <s v="TRK66906607"/>
    <n v="9"/>
    <s v="SAVE10"/>
    <s v="Google"/>
    <x v="82"/>
    <s v="Normal"/>
  </r>
  <r>
    <x v="83"/>
    <x v="60"/>
    <s v="C15681"/>
    <x v="5"/>
    <n v="4"/>
    <n v="540.41"/>
    <s v="989 Main St"/>
    <x v="2"/>
    <x v="1"/>
    <s v="TRK75112172"/>
    <n v="6"/>
    <s v="No Coupon"/>
    <s v="Referral"/>
    <x v="83"/>
    <s v="Normal"/>
  </r>
  <r>
    <x v="84"/>
    <x v="81"/>
    <s v="C64160"/>
    <x v="0"/>
    <n v="2"/>
    <n v="165.49"/>
    <s v="967 Main St"/>
    <x v="1"/>
    <x v="0"/>
    <s v="TRK34121529"/>
    <n v="4"/>
    <s v="WINTER15"/>
    <s v="Instagram"/>
    <x v="84"/>
    <s v="Normal"/>
  </r>
  <r>
    <x v="85"/>
    <x v="82"/>
    <s v="C14553"/>
    <x v="2"/>
    <n v="3"/>
    <n v="146.72999999999999"/>
    <s v="768 Main St"/>
    <x v="4"/>
    <x v="3"/>
    <s v="TRK93538334"/>
    <n v="8"/>
    <s v="FREESHIP"/>
    <s v="Email"/>
    <x v="85"/>
    <s v="Normal"/>
  </r>
  <r>
    <x v="86"/>
    <x v="83"/>
    <s v="C88205"/>
    <x v="4"/>
    <n v="5"/>
    <n v="643.03"/>
    <s v="447 Main St"/>
    <x v="1"/>
    <x v="1"/>
    <s v="TRK93504166"/>
    <n v="5"/>
    <s v="FREESHIP"/>
    <s v="Referral"/>
    <x v="86"/>
    <s v="Normal"/>
  </r>
  <r>
    <x v="87"/>
    <x v="84"/>
    <s v="C91245"/>
    <x v="2"/>
    <n v="3"/>
    <n v="225.11"/>
    <s v="915 Main St"/>
    <x v="4"/>
    <x v="0"/>
    <s v="TRK46976391"/>
    <n v="4"/>
    <s v="SAVE10"/>
    <s v="Facebook"/>
    <x v="87"/>
    <s v="Normal"/>
  </r>
  <r>
    <x v="88"/>
    <x v="85"/>
    <s v="C75439"/>
    <x v="6"/>
    <n v="3"/>
    <n v="114.81"/>
    <s v="318 Main St"/>
    <x v="3"/>
    <x v="1"/>
    <s v="TRK19831653"/>
    <n v="7"/>
    <s v="No Coupon"/>
    <s v="Google"/>
    <x v="88"/>
    <s v="Normal"/>
  </r>
  <r>
    <x v="89"/>
    <x v="86"/>
    <s v="C17181"/>
    <x v="4"/>
    <n v="5"/>
    <n v="455.33"/>
    <s v="291 Main St"/>
    <x v="2"/>
    <x v="1"/>
    <s v="TRK78912978"/>
    <n v="8"/>
    <s v="FREESHIP"/>
    <s v="Google"/>
    <x v="89"/>
    <s v="Normal"/>
  </r>
  <r>
    <x v="90"/>
    <x v="87"/>
    <s v="C36540"/>
    <x v="3"/>
    <n v="4"/>
    <n v="182.08"/>
    <s v="611 Main St"/>
    <x v="3"/>
    <x v="3"/>
    <s v="TRK35828122"/>
    <n v="4"/>
    <s v="SAVE10"/>
    <s v="Email"/>
    <x v="90"/>
    <s v="Normal"/>
  </r>
  <r>
    <x v="91"/>
    <x v="88"/>
    <s v="C98216"/>
    <x v="5"/>
    <n v="5"/>
    <n v="492.75"/>
    <s v="196 Main St"/>
    <x v="4"/>
    <x v="0"/>
    <s v="TRK40986666"/>
    <n v="6"/>
    <s v="WINTER15"/>
    <s v="Referral"/>
    <x v="91"/>
    <s v="Normal"/>
  </r>
  <r>
    <x v="92"/>
    <x v="89"/>
    <s v="C29568"/>
    <x v="4"/>
    <n v="4"/>
    <n v="48.61"/>
    <s v="203 Main St"/>
    <x v="1"/>
    <x v="0"/>
    <s v="TRK46531075"/>
    <n v="7"/>
    <s v="FREESHIP"/>
    <s v="Facebook"/>
    <x v="92"/>
    <s v="Normal"/>
  </r>
  <r>
    <x v="93"/>
    <x v="90"/>
    <s v="C97262"/>
    <x v="6"/>
    <n v="4"/>
    <n v="431.01"/>
    <s v="837 Main St"/>
    <x v="2"/>
    <x v="2"/>
    <s v="TRK65990229"/>
    <n v="7"/>
    <s v="No Coupon"/>
    <s v="Referral"/>
    <x v="93"/>
    <s v="Normal"/>
  </r>
  <r>
    <x v="94"/>
    <x v="91"/>
    <s v="C79821"/>
    <x v="3"/>
    <n v="1"/>
    <n v="531.17999999999995"/>
    <s v="781 Main St"/>
    <x v="3"/>
    <x v="2"/>
    <s v="TRK12780193"/>
    <n v="6"/>
    <s v="WINTER15"/>
    <s v="Instagram"/>
    <x v="94"/>
    <s v="Normal"/>
  </r>
  <r>
    <x v="95"/>
    <x v="92"/>
    <s v="C76761"/>
    <x v="4"/>
    <n v="4"/>
    <n v="117.51"/>
    <s v="839 Main St"/>
    <x v="0"/>
    <x v="2"/>
    <s v="TRK60179774"/>
    <n v="7"/>
    <s v="No Coupon"/>
    <s v="Referral"/>
    <x v="95"/>
    <s v="Normal"/>
  </r>
  <r>
    <x v="96"/>
    <x v="93"/>
    <s v="C93007"/>
    <x v="1"/>
    <n v="2"/>
    <n v="232.83"/>
    <s v="103 Main St"/>
    <x v="3"/>
    <x v="3"/>
    <s v="TRK85696091"/>
    <n v="7"/>
    <s v="No Coupon"/>
    <s v="Instagram"/>
    <x v="96"/>
    <s v="Normal"/>
  </r>
  <r>
    <x v="97"/>
    <x v="94"/>
    <s v="C15624"/>
    <x v="2"/>
    <n v="5"/>
    <n v="619.52"/>
    <s v="922 Main St"/>
    <x v="0"/>
    <x v="4"/>
    <s v="TRK40621141"/>
    <n v="9"/>
    <s v="No Coupon"/>
    <s v="Email"/>
    <x v="97"/>
    <s v="Normal"/>
  </r>
  <r>
    <x v="98"/>
    <x v="90"/>
    <s v="C70921"/>
    <x v="4"/>
    <n v="2"/>
    <n v="228.54"/>
    <s v="533 Main St"/>
    <x v="0"/>
    <x v="4"/>
    <s v="TRK54983109"/>
    <n v="3"/>
    <s v="No Coupon"/>
    <s v="Email"/>
    <x v="98"/>
    <s v="Normal"/>
  </r>
  <r>
    <x v="99"/>
    <x v="95"/>
    <s v="C30477"/>
    <x v="4"/>
    <n v="1"/>
    <n v="201.58"/>
    <s v="717 Main St"/>
    <x v="0"/>
    <x v="1"/>
    <s v="TRK51829648"/>
    <n v="2"/>
    <s v="WINTER15"/>
    <s v="Email"/>
    <x v="99"/>
    <s v="Normal"/>
  </r>
  <r>
    <x v="100"/>
    <x v="96"/>
    <s v="C74866"/>
    <x v="1"/>
    <n v="3"/>
    <n v="664.79"/>
    <s v="743 Main St"/>
    <x v="1"/>
    <x v="3"/>
    <s v="TRK53783265"/>
    <n v="6"/>
    <s v="No Coupon"/>
    <s v="Facebook"/>
    <x v="100"/>
    <s v="Normal"/>
  </r>
  <r>
    <x v="101"/>
    <x v="97"/>
    <s v="C15283"/>
    <x v="4"/>
    <n v="1"/>
    <n v="381.02"/>
    <s v="152 Main St"/>
    <x v="4"/>
    <x v="0"/>
    <s v="TRK19286291"/>
    <n v="6"/>
    <s v="No Coupon"/>
    <s v="Google"/>
    <x v="101"/>
    <s v="Normal"/>
  </r>
  <r>
    <x v="102"/>
    <x v="98"/>
    <s v="C18037"/>
    <x v="5"/>
    <n v="2"/>
    <n v="70.34"/>
    <s v="944 Main St"/>
    <x v="3"/>
    <x v="1"/>
    <s v="TRK47362236"/>
    <n v="3"/>
    <s v="FREESHIP"/>
    <s v="Email"/>
    <x v="102"/>
    <s v="Normal"/>
  </r>
  <r>
    <x v="103"/>
    <x v="99"/>
    <s v="C62656"/>
    <x v="1"/>
    <n v="4"/>
    <n v="218.43"/>
    <s v="514 Main St"/>
    <x v="2"/>
    <x v="1"/>
    <s v="TRK86296459"/>
    <n v="9"/>
    <s v="SAVE10"/>
    <s v="Email"/>
    <x v="103"/>
    <s v="Normal"/>
  </r>
  <r>
    <x v="104"/>
    <x v="100"/>
    <s v="C65744"/>
    <x v="1"/>
    <n v="1"/>
    <n v="582.04"/>
    <s v="647 Main St"/>
    <x v="3"/>
    <x v="3"/>
    <s v="TRK39906058"/>
    <n v="1"/>
    <s v="FREESHIP"/>
    <s v="Email"/>
    <x v="104"/>
    <s v="Normal"/>
  </r>
  <r>
    <x v="105"/>
    <x v="101"/>
    <s v="C72290"/>
    <x v="4"/>
    <n v="3"/>
    <n v="185.4"/>
    <s v="810 Main St"/>
    <x v="3"/>
    <x v="1"/>
    <s v="TRK68792129"/>
    <n v="7"/>
    <s v="No Coupon"/>
    <s v="Facebook"/>
    <x v="105"/>
    <s v="Normal"/>
  </r>
  <r>
    <x v="106"/>
    <x v="102"/>
    <s v="C73514"/>
    <x v="6"/>
    <n v="3"/>
    <n v="465.05"/>
    <s v="126 Main St"/>
    <x v="2"/>
    <x v="1"/>
    <s v="TRK96777924"/>
    <n v="3"/>
    <s v="SAVE10"/>
    <s v="Email"/>
    <x v="106"/>
    <s v="Normal"/>
  </r>
  <r>
    <x v="107"/>
    <x v="14"/>
    <s v="C16775"/>
    <x v="4"/>
    <n v="5"/>
    <n v="670.75"/>
    <s v="848 Main St"/>
    <x v="3"/>
    <x v="0"/>
    <s v="TRK34392124"/>
    <n v="8"/>
    <s v="FREESHIP"/>
    <s v="Instagram"/>
    <x v="107"/>
    <s v="Outlier"/>
  </r>
  <r>
    <x v="108"/>
    <x v="103"/>
    <s v="C33099"/>
    <x v="5"/>
    <n v="5"/>
    <n v="48.38"/>
    <s v="522 Main St"/>
    <x v="3"/>
    <x v="3"/>
    <s v="TRK28522330"/>
    <n v="9"/>
    <s v="WINTER15"/>
    <s v="Email"/>
    <x v="108"/>
    <s v="Normal"/>
  </r>
  <r>
    <x v="109"/>
    <x v="104"/>
    <s v="C51157"/>
    <x v="6"/>
    <n v="3"/>
    <n v="592.87"/>
    <s v="131 Main St"/>
    <x v="3"/>
    <x v="0"/>
    <s v="TRK18674578"/>
    <n v="3"/>
    <s v="FREESHIP"/>
    <s v="Referral"/>
    <x v="109"/>
    <s v="Normal"/>
  </r>
  <r>
    <x v="110"/>
    <x v="105"/>
    <s v="C74562"/>
    <x v="2"/>
    <n v="1"/>
    <n v="220.77"/>
    <s v="388 Main St"/>
    <x v="3"/>
    <x v="4"/>
    <s v="TRK32062079"/>
    <n v="5"/>
    <s v="FREESHIP"/>
    <s v="Instagram"/>
    <x v="110"/>
    <s v="Normal"/>
  </r>
  <r>
    <x v="111"/>
    <x v="106"/>
    <s v="C95271"/>
    <x v="6"/>
    <n v="3"/>
    <n v="309.22000000000003"/>
    <s v="620 Main St"/>
    <x v="1"/>
    <x v="1"/>
    <s v="TRK74904969"/>
    <n v="7"/>
    <s v="FREESHIP"/>
    <s v="Google"/>
    <x v="111"/>
    <s v="Normal"/>
  </r>
  <r>
    <x v="112"/>
    <x v="107"/>
    <s v="C81366"/>
    <x v="0"/>
    <n v="1"/>
    <n v="410.6"/>
    <s v="423 Main St"/>
    <x v="1"/>
    <x v="1"/>
    <s v="TRK17062206"/>
    <n v="2"/>
    <s v="WINTER15"/>
    <s v="Referral"/>
    <x v="112"/>
    <s v="Normal"/>
  </r>
  <r>
    <x v="113"/>
    <x v="108"/>
    <s v="C65905"/>
    <x v="5"/>
    <n v="5"/>
    <n v="190.08"/>
    <s v="605 Main St"/>
    <x v="4"/>
    <x v="0"/>
    <s v="TRK73954365"/>
    <n v="9"/>
    <s v="FREESHIP"/>
    <s v="Instagram"/>
    <x v="113"/>
    <s v="Normal"/>
  </r>
  <r>
    <x v="114"/>
    <x v="109"/>
    <s v="C77272"/>
    <x v="0"/>
    <n v="5"/>
    <n v="498.48"/>
    <s v="115 Main St"/>
    <x v="1"/>
    <x v="4"/>
    <s v="TRK29708128"/>
    <n v="8"/>
    <s v="SAVE10"/>
    <s v="Google"/>
    <x v="114"/>
    <s v="Normal"/>
  </r>
  <r>
    <x v="115"/>
    <x v="110"/>
    <s v="C32580"/>
    <x v="1"/>
    <n v="5"/>
    <n v="374.99"/>
    <s v="122 Main St"/>
    <x v="1"/>
    <x v="0"/>
    <s v="TRK23670394"/>
    <n v="9"/>
    <s v="SAVE10"/>
    <s v="Facebook"/>
    <x v="115"/>
    <s v="Normal"/>
  </r>
  <r>
    <x v="116"/>
    <x v="111"/>
    <s v="C47761"/>
    <x v="4"/>
    <n v="4"/>
    <n v="291.35000000000002"/>
    <s v="109 Main St"/>
    <x v="2"/>
    <x v="1"/>
    <s v="TRK66669207"/>
    <n v="6"/>
    <s v="WINTER15"/>
    <s v="Facebook"/>
    <x v="116"/>
    <s v="Normal"/>
  </r>
  <r>
    <x v="117"/>
    <x v="98"/>
    <s v="C49187"/>
    <x v="2"/>
    <n v="1"/>
    <n v="535.5"/>
    <s v="593 Main St"/>
    <x v="3"/>
    <x v="1"/>
    <s v="TRK81888598"/>
    <n v="5"/>
    <s v="WINTER15"/>
    <s v="Referral"/>
    <x v="117"/>
    <s v="Normal"/>
  </r>
  <r>
    <x v="118"/>
    <x v="112"/>
    <s v="C27898"/>
    <x v="4"/>
    <n v="5"/>
    <n v="502.71"/>
    <s v="807 Main St"/>
    <x v="3"/>
    <x v="0"/>
    <s v="TRK61957665"/>
    <n v="7"/>
    <s v="FREESHIP"/>
    <s v="Google"/>
    <x v="118"/>
    <s v="Normal"/>
  </r>
  <r>
    <x v="119"/>
    <x v="113"/>
    <s v="C14683"/>
    <x v="6"/>
    <n v="2"/>
    <n v="534.66999999999996"/>
    <s v="187 Main St"/>
    <x v="0"/>
    <x v="0"/>
    <s v="TRK47373682"/>
    <n v="7"/>
    <s v="FREESHIP"/>
    <s v="Referral"/>
    <x v="119"/>
    <s v="Normal"/>
  </r>
  <r>
    <x v="120"/>
    <x v="114"/>
    <s v="C58108"/>
    <x v="2"/>
    <n v="4"/>
    <n v="629.34"/>
    <s v="986 Main St"/>
    <x v="4"/>
    <x v="1"/>
    <s v="TRK66218053"/>
    <n v="4"/>
    <s v="WINTER15"/>
    <s v="Instagram"/>
    <x v="120"/>
    <s v="Normal"/>
  </r>
  <r>
    <x v="121"/>
    <x v="115"/>
    <s v="C89822"/>
    <x v="6"/>
    <n v="1"/>
    <n v="410.78"/>
    <s v="673 Main St"/>
    <x v="4"/>
    <x v="1"/>
    <s v="TRK24138598"/>
    <n v="1"/>
    <s v="FREESHIP"/>
    <s v="Instagram"/>
    <x v="121"/>
    <s v="Normal"/>
  </r>
  <r>
    <x v="122"/>
    <x v="116"/>
    <s v="C96787"/>
    <x v="5"/>
    <n v="2"/>
    <n v="533.02"/>
    <s v="588 Main St"/>
    <x v="3"/>
    <x v="0"/>
    <s v="TRK30422853"/>
    <n v="2"/>
    <s v="No Coupon"/>
    <s v="Facebook"/>
    <x v="122"/>
    <s v="Normal"/>
  </r>
  <r>
    <x v="123"/>
    <x v="117"/>
    <s v="C86064"/>
    <x v="6"/>
    <n v="3"/>
    <n v="278.04000000000002"/>
    <s v="727 Main St"/>
    <x v="1"/>
    <x v="3"/>
    <s v="TRK62182901"/>
    <n v="5"/>
    <s v="No Coupon"/>
    <s v="Instagram"/>
    <x v="123"/>
    <s v="Normal"/>
  </r>
  <r>
    <x v="124"/>
    <x v="118"/>
    <s v="C97148"/>
    <x v="4"/>
    <n v="4"/>
    <n v="283.79000000000002"/>
    <s v="563 Main St"/>
    <x v="1"/>
    <x v="4"/>
    <s v="TRK85321126"/>
    <n v="8"/>
    <s v="No Coupon"/>
    <s v="Google"/>
    <x v="124"/>
    <s v="Normal"/>
  </r>
  <r>
    <x v="125"/>
    <x v="119"/>
    <s v="C91099"/>
    <x v="1"/>
    <n v="2"/>
    <n v="512.65"/>
    <s v="758 Main St"/>
    <x v="2"/>
    <x v="0"/>
    <s v="TRK81846174"/>
    <n v="5"/>
    <s v="SAVE10"/>
    <s v="Email"/>
    <x v="125"/>
    <s v="Normal"/>
  </r>
  <r>
    <x v="126"/>
    <x v="120"/>
    <s v="C55606"/>
    <x v="6"/>
    <n v="4"/>
    <n v="275.5"/>
    <s v="353 Main St"/>
    <x v="3"/>
    <x v="0"/>
    <s v="TRK68250319"/>
    <n v="8"/>
    <s v="FREESHIP"/>
    <s v="Google"/>
    <x v="126"/>
    <s v="Normal"/>
  </r>
  <r>
    <x v="127"/>
    <x v="121"/>
    <s v="C71486"/>
    <x v="6"/>
    <n v="3"/>
    <n v="469.32"/>
    <s v="365 Main St"/>
    <x v="0"/>
    <x v="0"/>
    <s v="TRK73929833"/>
    <n v="3"/>
    <s v="No Coupon"/>
    <s v="Google"/>
    <x v="127"/>
    <s v="Normal"/>
  </r>
  <r>
    <x v="128"/>
    <x v="96"/>
    <s v="C86408"/>
    <x v="2"/>
    <n v="4"/>
    <n v="21.07"/>
    <s v="244 Main St"/>
    <x v="3"/>
    <x v="3"/>
    <s v="TRK41432648"/>
    <n v="4"/>
    <s v="FREESHIP"/>
    <s v="Google"/>
    <x v="128"/>
    <s v="Normal"/>
  </r>
  <r>
    <x v="129"/>
    <x v="122"/>
    <s v="C52751"/>
    <x v="5"/>
    <n v="4"/>
    <n v="263.93"/>
    <s v="427 Main St"/>
    <x v="0"/>
    <x v="0"/>
    <s v="TRK72481234"/>
    <n v="4"/>
    <s v="FREESHIP"/>
    <s v="Facebook"/>
    <x v="129"/>
    <s v="Normal"/>
  </r>
  <r>
    <x v="130"/>
    <x v="123"/>
    <s v="C29059"/>
    <x v="6"/>
    <n v="3"/>
    <n v="501.3"/>
    <s v="513 Main St"/>
    <x v="1"/>
    <x v="1"/>
    <s v="TRK88360704"/>
    <n v="3"/>
    <s v="WINTER15"/>
    <s v="Facebook"/>
    <x v="130"/>
    <s v="Normal"/>
  </r>
  <r>
    <x v="131"/>
    <x v="124"/>
    <s v="C72862"/>
    <x v="2"/>
    <n v="1"/>
    <n v="84.8"/>
    <s v="606 Main St"/>
    <x v="3"/>
    <x v="4"/>
    <s v="TRK51648833"/>
    <n v="5"/>
    <s v="No Coupon"/>
    <s v="Instagram"/>
    <x v="131"/>
    <s v="Normal"/>
  </r>
  <r>
    <x v="132"/>
    <x v="125"/>
    <s v="C96257"/>
    <x v="2"/>
    <n v="4"/>
    <n v="450.75"/>
    <s v="583 Main St"/>
    <x v="2"/>
    <x v="0"/>
    <s v="TRK13137948"/>
    <n v="6"/>
    <s v="WINTER15"/>
    <s v="Email"/>
    <x v="132"/>
    <s v="Normal"/>
  </r>
  <r>
    <x v="133"/>
    <x v="126"/>
    <s v="C87432"/>
    <x v="3"/>
    <n v="4"/>
    <n v="302.05"/>
    <s v="636 Main St"/>
    <x v="0"/>
    <x v="1"/>
    <s v="TRK68969625"/>
    <n v="6"/>
    <s v="SAVE10"/>
    <s v="Google"/>
    <x v="133"/>
    <s v="Normal"/>
  </r>
  <r>
    <x v="134"/>
    <x v="127"/>
    <s v="C16253"/>
    <x v="5"/>
    <n v="2"/>
    <n v="199.7"/>
    <s v="583 Main St"/>
    <x v="4"/>
    <x v="4"/>
    <s v="TRK17354894"/>
    <n v="4"/>
    <s v="No Coupon"/>
    <s v="Email"/>
    <x v="134"/>
    <s v="Normal"/>
  </r>
  <r>
    <x v="135"/>
    <x v="128"/>
    <s v="C79909"/>
    <x v="4"/>
    <n v="2"/>
    <n v="68.81"/>
    <s v="642 Main St"/>
    <x v="3"/>
    <x v="0"/>
    <s v="TRK86742257"/>
    <n v="5"/>
    <s v="SAVE10"/>
    <s v="Referral"/>
    <x v="135"/>
    <s v="Normal"/>
  </r>
  <r>
    <x v="136"/>
    <x v="129"/>
    <s v="C73370"/>
    <x v="5"/>
    <n v="1"/>
    <n v="44.35"/>
    <s v="595 Main St"/>
    <x v="3"/>
    <x v="1"/>
    <s v="TRK67820278"/>
    <n v="1"/>
    <s v="SAVE10"/>
    <s v="Instagram"/>
    <x v="136"/>
    <s v="Normal"/>
  </r>
  <r>
    <x v="137"/>
    <x v="130"/>
    <s v="C50682"/>
    <x v="0"/>
    <n v="2"/>
    <n v="250.98"/>
    <s v="598 Main St"/>
    <x v="2"/>
    <x v="3"/>
    <s v="TRK12242337"/>
    <n v="5"/>
    <s v="No Coupon"/>
    <s v="Google"/>
    <x v="137"/>
    <s v="Normal"/>
  </r>
  <r>
    <x v="138"/>
    <x v="131"/>
    <s v="C21905"/>
    <x v="2"/>
    <n v="1"/>
    <n v="298.06"/>
    <s v="478 Main St"/>
    <x v="0"/>
    <x v="4"/>
    <s v="TRK31863841"/>
    <n v="3"/>
    <s v="WINTER15"/>
    <s v="Google"/>
    <x v="138"/>
    <s v="Normal"/>
  </r>
  <r>
    <x v="139"/>
    <x v="132"/>
    <s v="C61440"/>
    <x v="1"/>
    <n v="1"/>
    <n v="583.9"/>
    <s v="714 Main St"/>
    <x v="4"/>
    <x v="2"/>
    <s v="TRK33114521"/>
    <n v="1"/>
    <s v="No Coupon"/>
    <s v="Email"/>
    <x v="139"/>
    <s v="Normal"/>
  </r>
  <r>
    <x v="140"/>
    <x v="133"/>
    <s v="C33110"/>
    <x v="3"/>
    <n v="3"/>
    <n v="528.14"/>
    <s v="388 Main St"/>
    <x v="1"/>
    <x v="3"/>
    <s v="TRK38624225"/>
    <n v="3"/>
    <s v="FREESHIP"/>
    <s v="Email"/>
    <x v="140"/>
    <s v="Normal"/>
  </r>
  <r>
    <x v="141"/>
    <x v="134"/>
    <s v="C80004"/>
    <x v="4"/>
    <n v="3"/>
    <n v="684.14"/>
    <s v="151 Main St"/>
    <x v="4"/>
    <x v="1"/>
    <s v="TRK66230753"/>
    <n v="3"/>
    <s v="WINTER15"/>
    <s v="Instagram"/>
    <x v="141"/>
    <s v="Normal"/>
  </r>
  <r>
    <x v="142"/>
    <x v="135"/>
    <s v="C86374"/>
    <x v="6"/>
    <n v="5"/>
    <n v="272.77"/>
    <s v="573 Main St"/>
    <x v="4"/>
    <x v="4"/>
    <s v="TRK79451491"/>
    <n v="7"/>
    <s v="WINTER15"/>
    <s v="Email"/>
    <x v="142"/>
    <s v="Normal"/>
  </r>
  <r>
    <x v="143"/>
    <x v="136"/>
    <s v="C66521"/>
    <x v="3"/>
    <n v="4"/>
    <n v="400.07"/>
    <s v="933 Main St"/>
    <x v="1"/>
    <x v="0"/>
    <s v="TRK34654244"/>
    <n v="5"/>
    <s v="No Coupon"/>
    <s v="Referral"/>
    <x v="143"/>
    <s v="Normal"/>
  </r>
  <r>
    <x v="144"/>
    <x v="128"/>
    <s v="C63365"/>
    <x v="6"/>
    <n v="5"/>
    <n v="219.78"/>
    <s v="895 Main St"/>
    <x v="2"/>
    <x v="4"/>
    <s v="TRK80100887"/>
    <n v="8"/>
    <s v="No Coupon"/>
    <s v="Facebook"/>
    <x v="144"/>
    <s v="Normal"/>
  </r>
  <r>
    <x v="145"/>
    <x v="17"/>
    <s v="C85929"/>
    <x v="4"/>
    <n v="3"/>
    <n v="146.91"/>
    <s v="798 Main St"/>
    <x v="2"/>
    <x v="3"/>
    <s v="TRK29318610"/>
    <n v="6"/>
    <s v="FREESHIP"/>
    <s v="Google"/>
    <x v="145"/>
    <s v="Normal"/>
  </r>
  <r>
    <x v="146"/>
    <x v="137"/>
    <s v="C84645"/>
    <x v="2"/>
    <n v="2"/>
    <n v="411.49"/>
    <s v="404 Main St"/>
    <x v="2"/>
    <x v="2"/>
    <s v="TRK68893369"/>
    <n v="4"/>
    <s v="No Coupon"/>
    <s v="Instagram"/>
    <x v="146"/>
    <s v="Normal"/>
  </r>
  <r>
    <x v="147"/>
    <x v="138"/>
    <s v="C46316"/>
    <x v="5"/>
    <n v="2"/>
    <n v="465.18"/>
    <s v="893 Main St"/>
    <x v="2"/>
    <x v="1"/>
    <s v="TRK16196000"/>
    <n v="2"/>
    <s v="SAVE10"/>
    <s v="Google"/>
    <x v="147"/>
    <s v="Normal"/>
  </r>
  <r>
    <x v="148"/>
    <x v="139"/>
    <s v="C35100"/>
    <x v="1"/>
    <n v="2"/>
    <n v="319.91000000000003"/>
    <s v="139 Main St"/>
    <x v="2"/>
    <x v="1"/>
    <s v="TRK56853491"/>
    <n v="3"/>
    <s v="WINTER15"/>
    <s v="Google"/>
    <x v="148"/>
    <s v="Normal"/>
  </r>
  <r>
    <x v="149"/>
    <x v="140"/>
    <s v="C39671"/>
    <x v="5"/>
    <n v="1"/>
    <n v="217.56"/>
    <s v="174 Main St"/>
    <x v="0"/>
    <x v="3"/>
    <s v="TRK47153818"/>
    <n v="3"/>
    <s v="No Coupon"/>
    <s v="Facebook"/>
    <x v="149"/>
    <s v="Normal"/>
  </r>
  <r>
    <x v="150"/>
    <x v="141"/>
    <s v="C25503"/>
    <x v="1"/>
    <n v="2"/>
    <n v="105.57"/>
    <s v="981 Main St"/>
    <x v="0"/>
    <x v="2"/>
    <s v="TRK29878837"/>
    <n v="5"/>
    <s v="WINTER15"/>
    <s v="Google"/>
    <x v="150"/>
    <s v="Normal"/>
  </r>
  <r>
    <x v="151"/>
    <x v="142"/>
    <s v="C32960"/>
    <x v="4"/>
    <n v="5"/>
    <n v="444.76"/>
    <s v="947 Main St"/>
    <x v="0"/>
    <x v="2"/>
    <s v="TRK91226500"/>
    <n v="7"/>
    <s v="No Coupon"/>
    <s v="Email"/>
    <x v="151"/>
    <s v="Normal"/>
  </r>
  <r>
    <x v="152"/>
    <x v="143"/>
    <s v="C77736"/>
    <x v="3"/>
    <n v="2"/>
    <n v="399.04"/>
    <s v="659 Main St"/>
    <x v="4"/>
    <x v="1"/>
    <s v="TRK90329250"/>
    <n v="3"/>
    <s v="FREESHIP"/>
    <s v="Referral"/>
    <x v="152"/>
    <s v="Normal"/>
  </r>
  <r>
    <x v="153"/>
    <x v="144"/>
    <s v="C71570"/>
    <x v="3"/>
    <n v="4"/>
    <n v="534.48"/>
    <s v="437 Main St"/>
    <x v="1"/>
    <x v="2"/>
    <s v="TRK95992269"/>
    <n v="9"/>
    <s v="WINTER15"/>
    <s v="Instagram"/>
    <x v="153"/>
    <s v="Normal"/>
  </r>
  <r>
    <x v="154"/>
    <x v="145"/>
    <s v="C73587"/>
    <x v="1"/>
    <n v="4"/>
    <n v="408.21"/>
    <s v="727 Main St"/>
    <x v="2"/>
    <x v="4"/>
    <s v="TRK13955543"/>
    <n v="9"/>
    <s v="No Coupon"/>
    <s v="Instagram"/>
    <x v="154"/>
    <s v="Normal"/>
  </r>
  <r>
    <x v="155"/>
    <x v="146"/>
    <s v="C62740"/>
    <x v="1"/>
    <n v="1"/>
    <n v="424.4"/>
    <s v="446 Main St"/>
    <x v="1"/>
    <x v="0"/>
    <s v="TRK20706408"/>
    <n v="6"/>
    <s v="WINTER15"/>
    <s v="Referral"/>
    <x v="155"/>
    <s v="Normal"/>
  </r>
  <r>
    <x v="156"/>
    <x v="147"/>
    <s v="C58808"/>
    <x v="3"/>
    <n v="2"/>
    <n v="269.83"/>
    <s v="651 Main St"/>
    <x v="1"/>
    <x v="3"/>
    <s v="TRK24451893"/>
    <n v="4"/>
    <s v="SAVE10"/>
    <s v="Email"/>
    <x v="156"/>
    <s v="Normal"/>
  </r>
  <r>
    <x v="157"/>
    <x v="148"/>
    <s v="C50422"/>
    <x v="0"/>
    <n v="2"/>
    <n v="564.58000000000004"/>
    <s v="636 Main St"/>
    <x v="1"/>
    <x v="2"/>
    <s v="TRK71227815"/>
    <n v="4"/>
    <s v="WINTER15"/>
    <s v="Facebook"/>
    <x v="157"/>
    <s v="Normal"/>
  </r>
  <r>
    <x v="158"/>
    <x v="149"/>
    <s v="C23334"/>
    <x v="2"/>
    <n v="1"/>
    <n v="331.06"/>
    <s v="737 Main St"/>
    <x v="2"/>
    <x v="4"/>
    <s v="TRK46335144"/>
    <n v="5"/>
    <s v="WINTER15"/>
    <s v="Instagram"/>
    <x v="158"/>
    <s v="Normal"/>
  </r>
  <r>
    <x v="159"/>
    <x v="150"/>
    <s v="C48965"/>
    <x v="4"/>
    <n v="1"/>
    <n v="299.35000000000002"/>
    <s v="819 Main St"/>
    <x v="2"/>
    <x v="1"/>
    <s v="TRK50921780"/>
    <n v="5"/>
    <s v="WINTER15"/>
    <s v="Email"/>
    <x v="159"/>
    <s v="Normal"/>
  </r>
  <r>
    <x v="160"/>
    <x v="96"/>
    <s v="C38669"/>
    <x v="0"/>
    <n v="4"/>
    <n v="101.32"/>
    <s v="240 Main St"/>
    <x v="4"/>
    <x v="4"/>
    <s v="TRK81738254"/>
    <n v="7"/>
    <s v="No Coupon"/>
    <s v="Referral"/>
    <x v="160"/>
    <s v="Normal"/>
  </r>
  <r>
    <x v="161"/>
    <x v="151"/>
    <s v="C35091"/>
    <x v="0"/>
    <n v="1"/>
    <n v="211.14"/>
    <s v="513 Main St"/>
    <x v="2"/>
    <x v="1"/>
    <s v="TRK53784452"/>
    <n v="1"/>
    <s v="SAVE10"/>
    <s v="Facebook"/>
    <x v="150"/>
    <s v="Normal"/>
  </r>
  <r>
    <x v="162"/>
    <x v="152"/>
    <s v="C82313"/>
    <x v="3"/>
    <n v="3"/>
    <n v="65.86"/>
    <s v="917 Main St"/>
    <x v="1"/>
    <x v="4"/>
    <s v="TRK79854624"/>
    <n v="8"/>
    <s v="WINTER15"/>
    <s v="Google"/>
    <x v="161"/>
    <s v="Normal"/>
  </r>
  <r>
    <x v="163"/>
    <x v="53"/>
    <s v="C99589"/>
    <x v="2"/>
    <n v="1"/>
    <n v="641.39"/>
    <s v="277 Main St"/>
    <x v="1"/>
    <x v="1"/>
    <s v="TRK16695001"/>
    <n v="1"/>
    <s v="No Coupon"/>
    <s v="Referral"/>
    <x v="162"/>
    <s v="Normal"/>
  </r>
  <r>
    <x v="164"/>
    <x v="153"/>
    <s v="C70566"/>
    <x v="6"/>
    <n v="5"/>
    <n v="536.58000000000004"/>
    <s v="667 Main St"/>
    <x v="3"/>
    <x v="4"/>
    <s v="TRK49673411"/>
    <n v="5"/>
    <s v="SAVE10"/>
    <s v="Google"/>
    <x v="163"/>
    <s v="Normal"/>
  </r>
  <r>
    <x v="165"/>
    <x v="154"/>
    <s v="C60355"/>
    <x v="0"/>
    <n v="2"/>
    <n v="500.29"/>
    <s v="226 Main St"/>
    <x v="1"/>
    <x v="2"/>
    <s v="TRK30155194"/>
    <n v="7"/>
    <s v="WINTER15"/>
    <s v="Google"/>
    <x v="164"/>
    <s v="Normal"/>
  </r>
  <r>
    <x v="166"/>
    <x v="155"/>
    <s v="C28889"/>
    <x v="3"/>
    <n v="3"/>
    <n v="86.29"/>
    <s v="565 Main St"/>
    <x v="4"/>
    <x v="3"/>
    <s v="TRK23791726"/>
    <n v="6"/>
    <s v="WINTER15"/>
    <s v="Instagram"/>
    <x v="165"/>
    <s v="Normal"/>
  </r>
  <r>
    <x v="167"/>
    <x v="156"/>
    <s v="C88304"/>
    <x v="3"/>
    <n v="2"/>
    <n v="384.14"/>
    <s v="219 Main St"/>
    <x v="1"/>
    <x v="2"/>
    <s v="TRK44268941"/>
    <n v="2"/>
    <s v="WINTER15"/>
    <s v="Email"/>
    <x v="166"/>
    <s v="Normal"/>
  </r>
  <r>
    <x v="168"/>
    <x v="157"/>
    <s v="C49517"/>
    <x v="4"/>
    <n v="1"/>
    <n v="594.96"/>
    <s v="878 Main St"/>
    <x v="4"/>
    <x v="2"/>
    <s v="TRK78551375"/>
    <n v="6"/>
    <s v="No Coupon"/>
    <s v="Facebook"/>
    <x v="167"/>
    <s v="Normal"/>
  </r>
  <r>
    <x v="169"/>
    <x v="158"/>
    <s v="C35785"/>
    <x v="4"/>
    <n v="1"/>
    <n v="427.82"/>
    <s v="732 Main St"/>
    <x v="1"/>
    <x v="3"/>
    <s v="TRK78923089"/>
    <n v="2"/>
    <s v="WINTER15"/>
    <s v="Email"/>
    <x v="168"/>
    <s v="Normal"/>
  </r>
  <r>
    <x v="170"/>
    <x v="159"/>
    <s v="C80223"/>
    <x v="6"/>
    <n v="4"/>
    <n v="662.94"/>
    <s v="535 Main St"/>
    <x v="4"/>
    <x v="1"/>
    <s v="TRK68632951"/>
    <n v="8"/>
    <s v="SAVE10"/>
    <s v="Instagram"/>
    <x v="169"/>
    <s v="Normal"/>
  </r>
  <r>
    <x v="171"/>
    <x v="160"/>
    <s v="C20448"/>
    <x v="2"/>
    <n v="2"/>
    <n v="148.22"/>
    <s v="336 Main St"/>
    <x v="2"/>
    <x v="3"/>
    <s v="TRK67379895"/>
    <n v="7"/>
    <s v="WINTER15"/>
    <s v="Instagram"/>
    <x v="170"/>
    <s v="Normal"/>
  </r>
  <r>
    <x v="172"/>
    <x v="161"/>
    <s v="C34134"/>
    <x v="4"/>
    <n v="1"/>
    <n v="254.12"/>
    <s v="365 Main St"/>
    <x v="1"/>
    <x v="3"/>
    <s v="TRK43074303"/>
    <n v="1"/>
    <s v="WINTER15"/>
    <s v="Email"/>
    <x v="171"/>
    <s v="Normal"/>
  </r>
  <r>
    <x v="173"/>
    <x v="59"/>
    <s v="C95901"/>
    <x v="1"/>
    <n v="3"/>
    <n v="664.46"/>
    <s v="806 Main St"/>
    <x v="1"/>
    <x v="3"/>
    <s v="TRK56989066"/>
    <n v="4"/>
    <s v="FREESHIP"/>
    <s v="Google"/>
    <x v="172"/>
    <s v="Normal"/>
  </r>
  <r>
    <x v="174"/>
    <x v="162"/>
    <s v="C51145"/>
    <x v="4"/>
    <n v="4"/>
    <n v="600.80999999999995"/>
    <s v="790 Main St"/>
    <x v="0"/>
    <x v="3"/>
    <s v="TRK59154274"/>
    <n v="9"/>
    <s v="SAVE10"/>
    <s v="Email"/>
    <x v="173"/>
    <s v="Normal"/>
  </r>
  <r>
    <x v="175"/>
    <x v="163"/>
    <s v="C78170"/>
    <x v="3"/>
    <n v="5"/>
    <n v="68.34"/>
    <s v="332 Main St"/>
    <x v="0"/>
    <x v="4"/>
    <s v="TRK71410605"/>
    <n v="6"/>
    <s v="WINTER15"/>
    <s v="Referral"/>
    <x v="174"/>
    <s v="Normal"/>
  </r>
  <r>
    <x v="176"/>
    <x v="164"/>
    <s v="C80151"/>
    <x v="2"/>
    <n v="4"/>
    <n v="430.83"/>
    <s v="553 Main St"/>
    <x v="3"/>
    <x v="4"/>
    <s v="TRK88251529"/>
    <n v="8"/>
    <s v="WINTER15"/>
    <s v="Referral"/>
    <x v="175"/>
    <s v="Normal"/>
  </r>
  <r>
    <x v="177"/>
    <x v="165"/>
    <s v="C55632"/>
    <x v="3"/>
    <n v="5"/>
    <n v="431.69"/>
    <s v="354 Main St"/>
    <x v="2"/>
    <x v="4"/>
    <s v="TRK13003066"/>
    <n v="10"/>
    <s v="No Coupon"/>
    <s v="Facebook"/>
    <x v="176"/>
    <s v="Normal"/>
  </r>
  <r>
    <x v="178"/>
    <x v="166"/>
    <s v="C53070"/>
    <x v="3"/>
    <n v="4"/>
    <n v="512.05999999999995"/>
    <s v="283 Main St"/>
    <x v="1"/>
    <x v="3"/>
    <s v="TRK49791755"/>
    <n v="5"/>
    <s v="SAVE10"/>
    <s v="Google"/>
    <x v="177"/>
    <s v="Normal"/>
  </r>
  <r>
    <x v="179"/>
    <x v="167"/>
    <s v="C27401"/>
    <x v="5"/>
    <n v="3"/>
    <n v="539.91"/>
    <s v="500 Main St"/>
    <x v="2"/>
    <x v="3"/>
    <s v="TRK14332053"/>
    <n v="8"/>
    <s v="No Coupon"/>
    <s v="Email"/>
    <x v="178"/>
    <s v="Normal"/>
  </r>
  <r>
    <x v="180"/>
    <x v="168"/>
    <s v="C87216"/>
    <x v="2"/>
    <n v="5"/>
    <n v="316.07"/>
    <s v="970 Main St"/>
    <x v="4"/>
    <x v="2"/>
    <s v="TRK18713727"/>
    <n v="10"/>
    <s v="No Coupon"/>
    <s v="Google"/>
    <x v="179"/>
    <s v="Normal"/>
  </r>
  <r>
    <x v="181"/>
    <x v="169"/>
    <s v="C38966"/>
    <x v="4"/>
    <n v="5"/>
    <n v="404.39"/>
    <s v="247 Main St"/>
    <x v="1"/>
    <x v="0"/>
    <s v="TRK17205146"/>
    <n v="10"/>
    <s v="No Coupon"/>
    <s v="Referral"/>
    <x v="180"/>
    <s v="Normal"/>
  </r>
  <r>
    <x v="182"/>
    <x v="170"/>
    <s v="C16612"/>
    <x v="6"/>
    <n v="1"/>
    <n v="600.54"/>
    <s v="596 Main St"/>
    <x v="0"/>
    <x v="4"/>
    <s v="TRK96188223"/>
    <n v="4"/>
    <s v="WINTER15"/>
    <s v="Google"/>
    <x v="181"/>
    <s v="Normal"/>
  </r>
  <r>
    <x v="183"/>
    <x v="171"/>
    <s v="C39246"/>
    <x v="0"/>
    <n v="5"/>
    <n v="186.28"/>
    <s v="258 Main St"/>
    <x v="0"/>
    <x v="3"/>
    <s v="TRK16658182"/>
    <n v="8"/>
    <s v="SAVE10"/>
    <s v="Email"/>
    <x v="182"/>
    <s v="Normal"/>
  </r>
  <r>
    <x v="184"/>
    <x v="172"/>
    <s v="C65180"/>
    <x v="2"/>
    <n v="4"/>
    <n v="214.54"/>
    <s v="231 Main St"/>
    <x v="3"/>
    <x v="1"/>
    <s v="TRK39255469"/>
    <n v="7"/>
    <s v="No Coupon"/>
    <s v="Referral"/>
    <x v="183"/>
    <s v="Normal"/>
  </r>
  <r>
    <x v="185"/>
    <x v="61"/>
    <s v="C46877"/>
    <x v="5"/>
    <n v="1"/>
    <n v="210.7"/>
    <s v="572 Main St"/>
    <x v="1"/>
    <x v="0"/>
    <s v="TRK96935978"/>
    <n v="2"/>
    <s v="WINTER15"/>
    <s v="Referral"/>
    <x v="184"/>
    <s v="Normal"/>
  </r>
  <r>
    <x v="186"/>
    <x v="173"/>
    <s v="C30334"/>
    <x v="1"/>
    <n v="2"/>
    <n v="133.55000000000001"/>
    <s v="322 Main St"/>
    <x v="4"/>
    <x v="4"/>
    <s v="TRK66388885"/>
    <n v="7"/>
    <s v="FREESHIP"/>
    <s v="Facebook"/>
    <x v="185"/>
    <s v="Normal"/>
  </r>
  <r>
    <x v="187"/>
    <x v="174"/>
    <s v="C21227"/>
    <x v="3"/>
    <n v="1"/>
    <n v="590.87"/>
    <s v="689 Main St"/>
    <x v="3"/>
    <x v="2"/>
    <s v="TRK79129657"/>
    <n v="6"/>
    <s v="FREESHIP"/>
    <s v="Referral"/>
    <x v="186"/>
    <s v="Normal"/>
  </r>
  <r>
    <x v="188"/>
    <x v="175"/>
    <s v="C97715"/>
    <x v="3"/>
    <n v="2"/>
    <n v="363.91"/>
    <s v="927 Main St"/>
    <x v="3"/>
    <x v="0"/>
    <s v="TRK19515949"/>
    <n v="2"/>
    <s v="FREESHIP"/>
    <s v="Referral"/>
    <x v="187"/>
    <s v="Normal"/>
  </r>
  <r>
    <x v="189"/>
    <x v="176"/>
    <s v="C48939"/>
    <x v="4"/>
    <n v="5"/>
    <n v="429.45"/>
    <s v="597 Main St"/>
    <x v="3"/>
    <x v="1"/>
    <s v="TRK62786764"/>
    <n v="5"/>
    <s v="WINTER15"/>
    <s v="Email"/>
    <x v="188"/>
    <s v="Normal"/>
  </r>
  <r>
    <x v="190"/>
    <x v="169"/>
    <s v="C35483"/>
    <x v="4"/>
    <n v="3"/>
    <n v="223.7"/>
    <s v="725 Main St"/>
    <x v="4"/>
    <x v="2"/>
    <s v="TRK79638203"/>
    <n v="3"/>
    <s v="SAVE10"/>
    <s v="Email"/>
    <x v="189"/>
    <s v="Normal"/>
  </r>
  <r>
    <x v="191"/>
    <x v="177"/>
    <s v="C51494"/>
    <x v="5"/>
    <n v="2"/>
    <n v="488.87"/>
    <s v="505 Main St"/>
    <x v="1"/>
    <x v="1"/>
    <s v="TRK58520306"/>
    <n v="4"/>
    <s v="FREESHIP"/>
    <s v="Google"/>
    <x v="190"/>
    <s v="Normal"/>
  </r>
  <r>
    <x v="192"/>
    <x v="178"/>
    <s v="C58410"/>
    <x v="6"/>
    <n v="1"/>
    <n v="645.46"/>
    <s v="151 Main St"/>
    <x v="3"/>
    <x v="1"/>
    <s v="TRK19749672"/>
    <n v="5"/>
    <s v="SAVE10"/>
    <s v="Google"/>
    <x v="191"/>
    <s v="Normal"/>
  </r>
  <r>
    <x v="193"/>
    <x v="179"/>
    <s v="C11644"/>
    <x v="4"/>
    <n v="1"/>
    <n v="46.66"/>
    <s v="429 Main St"/>
    <x v="4"/>
    <x v="1"/>
    <s v="TRK81320339"/>
    <n v="6"/>
    <s v="No Coupon"/>
    <s v="Google"/>
    <x v="192"/>
    <s v="Normal"/>
  </r>
  <r>
    <x v="194"/>
    <x v="180"/>
    <s v="C53501"/>
    <x v="0"/>
    <n v="1"/>
    <n v="249.57"/>
    <s v="899 Main St"/>
    <x v="4"/>
    <x v="0"/>
    <s v="TRK90144892"/>
    <n v="3"/>
    <s v="FREESHIP"/>
    <s v="Google"/>
    <x v="193"/>
    <s v="Normal"/>
  </r>
  <r>
    <x v="195"/>
    <x v="181"/>
    <s v="C63619"/>
    <x v="3"/>
    <n v="3"/>
    <n v="619.21"/>
    <s v="801 Main St"/>
    <x v="0"/>
    <x v="1"/>
    <s v="TRK65385674"/>
    <n v="6"/>
    <s v="No Coupon"/>
    <s v="Email"/>
    <x v="194"/>
    <s v="Normal"/>
  </r>
  <r>
    <x v="196"/>
    <x v="182"/>
    <s v="C40882"/>
    <x v="6"/>
    <n v="4"/>
    <n v="217.13"/>
    <s v="719 Main St"/>
    <x v="4"/>
    <x v="3"/>
    <s v="TRK64165503"/>
    <n v="8"/>
    <s v="WINTER15"/>
    <s v="Email"/>
    <x v="195"/>
    <s v="Normal"/>
  </r>
  <r>
    <x v="197"/>
    <x v="183"/>
    <s v="C80135"/>
    <x v="5"/>
    <n v="5"/>
    <n v="221.51"/>
    <s v="723 Main St"/>
    <x v="4"/>
    <x v="2"/>
    <s v="TRK95222269"/>
    <n v="5"/>
    <s v="WINTER15"/>
    <s v="Referral"/>
    <x v="196"/>
    <s v="Normal"/>
  </r>
  <r>
    <x v="198"/>
    <x v="184"/>
    <s v="C37594"/>
    <x v="5"/>
    <n v="4"/>
    <n v="340.3"/>
    <s v="926 Main St"/>
    <x v="4"/>
    <x v="1"/>
    <s v="TRK94405162"/>
    <n v="8"/>
    <s v="SAVE10"/>
    <s v="Referral"/>
    <x v="197"/>
    <s v="Normal"/>
  </r>
  <r>
    <x v="199"/>
    <x v="185"/>
    <s v="C87524"/>
    <x v="1"/>
    <n v="1"/>
    <n v="625"/>
    <s v="358 Main St"/>
    <x v="1"/>
    <x v="2"/>
    <s v="TRK21114341"/>
    <n v="5"/>
    <s v="WINTER15"/>
    <s v="Google"/>
    <x v="198"/>
    <s v="Normal"/>
  </r>
  <r>
    <x v="200"/>
    <x v="186"/>
    <s v="C97681"/>
    <x v="2"/>
    <n v="5"/>
    <n v="433.26"/>
    <s v="895 Main St"/>
    <x v="2"/>
    <x v="3"/>
    <s v="TRK37531040"/>
    <n v="9"/>
    <s v="SAVE10"/>
    <s v="Google"/>
    <x v="199"/>
    <s v="Normal"/>
  </r>
  <r>
    <x v="201"/>
    <x v="187"/>
    <s v="C10126"/>
    <x v="0"/>
    <n v="2"/>
    <n v="674.9"/>
    <s v="146 Main St"/>
    <x v="1"/>
    <x v="0"/>
    <s v="TRK75607531"/>
    <n v="4"/>
    <s v="SAVE10"/>
    <s v="Facebook"/>
    <x v="200"/>
    <s v="Normal"/>
  </r>
  <r>
    <x v="202"/>
    <x v="188"/>
    <s v="C36938"/>
    <x v="0"/>
    <n v="3"/>
    <n v="253.98"/>
    <s v="636 Main St"/>
    <x v="2"/>
    <x v="1"/>
    <s v="TRK52522904"/>
    <n v="3"/>
    <s v="FREESHIP"/>
    <s v="Email"/>
    <x v="201"/>
    <s v="Normal"/>
  </r>
  <r>
    <x v="203"/>
    <x v="94"/>
    <s v="C99173"/>
    <x v="4"/>
    <n v="3"/>
    <n v="356.84"/>
    <s v="172 Main St"/>
    <x v="1"/>
    <x v="0"/>
    <s v="TRK89849342"/>
    <n v="5"/>
    <s v="SAVE10"/>
    <s v="Instagram"/>
    <x v="202"/>
    <s v="Normal"/>
  </r>
  <r>
    <x v="204"/>
    <x v="189"/>
    <s v="C99775"/>
    <x v="5"/>
    <n v="4"/>
    <n v="413.71"/>
    <s v="478 Main St"/>
    <x v="3"/>
    <x v="1"/>
    <s v="TRK21638425"/>
    <n v="9"/>
    <s v="FREESHIP"/>
    <s v="Facebook"/>
    <x v="203"/>
    <s v="Normal"/>
  </r>
  <r>
    <x v="205"/>
    <x v="190"/>
    <s v="C19266"/>
    <x v="6"/>
    <n v="3"/>
    <n v="147.38999999999999"/>
    <s v="609 Main St"/>
    <x v="0"/>
    <x v="2"/>
    <s v="TRK58357269"/>
    <n v="3"/>
    <s v="No Coupon"/>
    <s v="Email"/>
    <x v="204"/>
    <s v="Normal"/>
  </r>
  <r>
    <x v="206"/>
    <x v="162"/>
    <s v="C31072"/>
    <x v="5"/>
    <n v="4"/>
    <n v="229.1"/>
    <s v="729 Main St"/>
    <x v="3"/>
    <x v="2"/>
    <s v="TRK77172975"/>
    <n v="8"/>
    <s v="WINTER15"/>
    <s v="Email"/>
    <x v="205"/>
    <s v="Normal"/>
  </r>
  <r>
    <x v="207"/>
    <x v="191"/>
    <s v="C54595"/>
    <x v="1"/>
    <n v="1"/>
    <n v="121.96"/>
    <s v="999 Main St"/>
    <x v="0"/>
    <x v="3"/>
    <s v="TRK44416659"/>
    <n v="3"/>
    <s v="No Coupon"/>
    <s v="Google"/>
    <x v="206"/>
    <s v="Normal"/>
  </r>
  <r>
    <x v="208"/>
    <x v="192"/>
    <s v="C87777"/>
    <x v="6"/>
    <n v="2"/>
    <n v="408.32"/>
    <s v="597 Main St"/>
    <x v="1"/>
    <x v="0"/>
    <s v="TRK29003608"/>
    <n v="3"/>
    <s v="FREESHIP"/>
    <s v="Facebook"/>
    <x v="207"/>
    <s v="Normal"/>
  </r>
  <r>
    <x v="209"/>
    <x v="193"/>
    <s v="C35854"/>
    <x v="2"/>
    <n v="5"/>
    <n v="187.97"/>
    <s v="706 Main St"/>
    <x v="4"/>
    <x v="2"/>
    <s v="TRK30615168"/>
    <n v="9"/>
    <s v="SAVE10"/>
    <s v="Google"/>
    <x v="208"/>
    <s v="Normal"/>
  </r>
  <r>
    <x v="210"/>
    <x v="194"/>
    <s v="C93821"/>
    <x v="3"/>
    <n v="3"/>
    <n v="358.48"/>
    <s v="513 Main St"/>
    <x v="3"/>
    <x v="3"/>
    <s v="TRK10658539"/>
    <n v="7"/>
    <s v="FREESHIP"/>
    <s v="Facebook"/>
    <x v="209"/>
    <s v="Normal"/>
  </r>
  <r>
    <x v="211"/>
    <x v="195"/>
    <s v="C54390"/>
    <x v="4"/>
    <n v="3"/>
    <n v="193.58"/>
    <s v="185 Main St"/>
    <x v="3"/>
    <x v="4"/>
    <s v="TRK83853742"/>
    <n v="7"/>
    <s v="FREESHIP"/>
    <s v="Email"/>
    <x v="210"/>
    <s v="Normal"/>
  </r>
  <r>
    <x v="212"/>
    <x v="196"/>
    <s v="C53215"/>
    <x v="0"/>
    <n v="1"/>
    <n v="265.38"/>
    <s v="367 Main St"/>
    <x v="2"/>
    <x v="1"/>
    <s v="TRK34751835"/>
    <n v="6"/>
    <s v="WINTER15"/>
    <s v="Email"/>
    <x v="211"/>
    <s v="Normal"/>
  </r>
  <r>
    <x v="213"/>
    <x v="197"/>
    <s v="C71122"/>
    <x v="5"/>
    <n v="1"/>
    <n v="634.4"/>
    <s v="317 Main St"/>
    <x v="4"/>
    <x v="1"/>
    <s v="TRK54757882"/>
    <n v="6"/>
    <s v="SAVE10"/>
    <s v="Email"/>
    <x v="212"/>
    <s v="Normal"/>
  </r>
  <r>
    <x v="214"/>
    <x v="58"/>
    <s v="C29483"/>
    <x v="6"/>
    <n v="4"/>
    <n v="305.72000000000003"/>
    <s v="673 Main St"/>
    <x v="1"/>
    <x v="3"/>
    <s v="TRK89423603"/>
    <n v="5"/>
    <s v="No Coupon"/>
    <s v="Facebook"/>
    <x v="213"/>
    <s v="Normal"/>
  </r>
  <r>
    <x v="215"/>
    <x v="121"/>
    <s v="C26767"/>
    <x v="4"/>
    <n v="1"/>
    <n v="303.60000000000002"/>
    <s v="432 Main St"/>
    <x v="4"/>
    <x v="0"/>
    <s v="TRK24585307"/>
    <n v="5"/>
    <s v="FREESHIP"/>
    <s v="Facebook"/>
    <x v="214"/>
    <s v="Normal"/>
  </r>
  <r>
    <x v="216"/>
    <x v="198"/>
    <s v="C70492"/>
    <x v="0"/>
    <n v="4"/>
    <n v="496"/>
    <s v="811 Main St"/>
    <x v="1"/>
    <x v="1"/>
    <s v="TRK84625405"/>
    <n v="8"/>
    <s v="WINTER15"/>
    <s v="Google"/>
    <x v="215"/>
    <s v="Normal"/>
  </r>
  <r>
    <x v="217"/>
    <x v="199"/>
    <s v="C61549"/>
    <x v="6"/>
    <n v="4"/>
    <n v="321.51"/>
    <s v="908 Main St"/>
    <x v="4"/>
    <x v="2"/>
    <s v="TRK65596914"/>
    <n v="9"/>
    <s v="No Coupon"/>
    <s v="Google"/>
    <x v="216"/>
    <s v="Normal"/>
  </r>
  <r>
    <x v="218"/>
    <x v="200"/>
    <s v="C11665"/>
    <x v="2"/>
    <n v="3"/>
    <n v="112.46"/>
    <s v="882 Main St"/>
    <x v="3"/>
    <x v="0"/>
    <s v="TRK10993930"/>
    <n v="6"/>
    <s v="SAVE10"/>
    <s v="Instagram"/>
    <x v="217"/>
    <s v="Normal"/>
  </r>
  <r>
    <x v="219"/>
    <x v="201"/>
    <s v="C48946"/>
    <x v="5"/>
    <n v="5"/>
    <n v="61.97"/>
    <s v="457 Main St"/>
    <x v="4"/>
    <x v="3"/>
    <s v="TRK99387220"/>
    <n v="6"/>
    <s v="SAVE10"/>
    <s v="Email"/>
    <x v="218"/>
    <s v="Normal"/>
  </r>
  <r>
    <x v="220"/>
    <x v="202"/>
    <s v="C79506"/>
    <x v="5"/>
    <n v="2"/>
    <n v="373.17"/>
    <s v="497 Main St"/>
    <x v="2"/>
    <x v="4"/>
    <s v="TRK95188748"/>
    <n v="6"/>
    <s v="SAVE10"/>
    <s v="Referral"/>
    <x v="219"/>
    <s v="Normal"/>
  </r>
  <r>
    <x v="221"/>
    <x v="203"/>
    <s v="C93473"/>
    <x v="2"/>
    <n v="5"/>
    <n v="639.37"/>
    <s v="552 Main St"/>
    <x v="0"/>
    <x v="4"/>
    <s v="TRK50003989"/>
    <n v="6"/>
    <s v="SAVE10"/>
    <s v="Google"/>
    <x v="220"/>
    <s v="Normal"/>
  </r>
  <r>
    <x v="222"/>
    <x v="204"/>
    <s v="C43124"/>
    <x v="3"/>
    <n v="4"/>
    <n v="693.36"/>
    <s v="931 Main St"/>
    <x v="1"/>
    <x v="0"/>
    <s v="TRK17293348"/>
    <n v="8"/>
    <s v="No Coupon"/>
    <s v="Instagram"/>
    <x v="221"/>
    <s v="Normal"/>
  </r>
  <r>
    <x v="223"/>
    <x v="57"/>
    <s v="C22783"/>
    <x v="1"/>
    <n v="4"/>
    <n v="692.91"/>
    <s v="673 Main St"/>
    <x v="2"/>
    <x v="4"/>
    <s v="TRK55009149"/>
    <n v="9"/>
    <s v="SAVE10"/>
    <s v="Instagram"/>
    <x v="222"/>
    <s v="Normal"/>
  </r>
  <r>
    <x v="224"/>
    <x v="205"/>
    <s v="C18567"/>
    <x v="4"/>
    <n v="4"/>
    <n v="91.46"/>
    <s v="507 Main St"/>
    <x v="4"/>
    <x v="1"/>
    <s v="TRK17554673"/>
    <n v="9"/>
    <s v="SAVE10"/>
    <s v="Referral"/>
    <x v="223"/>
    <s v="Normal"/>
  </r>
  <r>
    <x v="225"/>
    <x v="206"/>
    <s v="C99879"/>
    <x v="1"/>
    <n v="3"/>
    <n v="273.95999999999998"/>
    <s v="692 Main St"/>
    <x v="0"/>
    <x v="2"/>
    <s v="TRK50246700"/>
    <n v="8"/>
    <s v="SAVE10"/>
    <s v="Google"/>
    <x v="224"/>
    <s v="Normal"/>
  </r>
  <r>
    <x v="226"/>
    <x v="207"/>
    <s v="C31501"/>
    <x v="6"/>
    <n v="3"/>
    <n v="588.04999999999995"/>
    <s v="242 Main St"/>
    <x v="3"/>
    <x v="3"/>
    <s v="TRK93063929"/>
    <n v="8"/>
    <s v="No Coupon"/>
    <s v="Instagram"/>
    <x v="225"/>
    <s v="Normal"/>
  </r>
  <r>
    <x v="227"/>
    <x v="208"/>
    <s v="C93220"/>
    <x v="0"/>
    <n v="2"/>
    <n v="365.17"/>
    <s v="353 Main St"/>
    <x v="1"/>
    <x v="1"/>
    <s v="TRK89023251"/>
    <n v="4"/>
    <s v="FREESHIP"/>
    <s v="Facebook"/>
    <x v="226"/>
    <s v="Normal"/>
  </r>
  <r>
    <x v="228"/>
    <x v="209"/>
    <s v="C57867"/>
    <x v="3"/>
    <n v="4"/>
    <n v="385.92"/>
    <s v="579 Main St"/>
    <x v="2"/>
    <x v="1"/>
    <s v="TRK92055007"/>
    <n v="8"/>
    <s v="No Coupon"/>
    <s v="Instagram"/>
    <x v="227"/>
    <s v="Normal"/>
  </r>
  <r>
    <x v="229"/>
    <x v="210"/>
    <s v="C62622"/>
    <x v="2"/>
    <n v="1"/>
    <n v="562.61"/>
    <s v="762 Main St"/>
    <x v="2"/>
    <x v="3"/>
    <s v="TRK70997648"/>
    <n v="3"/>
    <s v="WINTER15"/>
    <s v="Facebook"/>
    <x v="228"/>
    <s v="Normal"/>
  </r>
  <r>
    <x v="230"/>
    <x v="211"/>
    <s v="C94595"/>
    <x v="6"/>
    <n v="4"/>
    <n v="61.91"/>
    <s v="948 Main St"/>
    <x v="3"/>
    <x v="3"/>
    <s v="TRK24497305"/>
    <n v="6"/>
    <s v="WINTER15"/>
    <s v="Email"/>
    <x v="229"/>
    <s v="Normal"/>
  </r>
  <r>
    <x v="231"/>
    <x v="212"/>
    <s v="C30955"/>
    <x v="1"/>
    <n v="4"/>
    <n v="41.9"/>
    <s v="327 Main St"/>
    <x v="3"/>
    <x v="4"/>
    <s v="TRK46898848"/>
    <n v="9"/>
    <s v="FREESHIP"/>
    <s v="Instagram"/>
    <x v="230"/>
    <s v="Normal"/>
  </r>
  <r>
    <x v="232"/>
    <x v="213"/>
    <s v="C20731"/>
    <x v="4"/>
    <n v="4"/>
    <n v="444.44"/>
    <s v="610 Main St"/>
    <x v="0"/>
    <x v="1"/>
    <s v="TRK75568437"/>
    <n v="8"/>
    <s v="WINTER15"/>
    <s v="Google"/>
    <x v="231"/>
    <s v="Normal"/>
  </r>
  <r>
    <x v="233"/>
    <x v="214"/>
    <s v="C30168"/>
    <x v="1"/>
    <n v="3"/>
    <n v="311.33"/>
    <s v="146 Main St"/>
    <x v="4"/>
    <x v="1"/>
    <s v="TRK73699939"/>
    <n v="3"/>
    <s v="WINTER15"/>
    <s v="Instagram"/>
    <x v="232"/>
    <s v="Normal"/>
  </r>
  <r>
    <x v="234"/>
    <x v="130"/>
    <s v="C79842"/>
    <x v="4"/>
    <n v="4"/>
    <n v="236.41"/>
    <s v="337 Main St"/>
    <x v="0"/>
    <x v="4"/>
    <s v="TRK26957950"/>
    <n v="7"/>
    <s v="SAVE10"/>
    <s v="Google"/>
    <x v="233"/>
    <s v="Normal"/>
  </r>
  <r>
    <x v="235"/>
    <x v="215"/>
    <s v="C32854"/>
    <x v="6"/>
    <n v="1"/>
    <n v="65.45"/>
    <s v="815 Main St"/>
    <x v="4"/>
    <x v="4"/>
    <s v="TRK30009218"/>
    <n v="2"/>
    <s v="WINTER15"/>
    <s v="Google"/>
    <x v="234"/>
    <s v="Normal"/>
  </r>
  <r>
    <x v="236"/>
    <x v="107"/>
    <s v="C14847"/>
    <x v="0"/>
    <n v="1"/>
    <n v="318.81"/>
    <s v="562 Main St"/>
    <x v="0"/>
    <x v="4"/>
    <s v="TRK39663243"/>
    <n v="3"/>
    <s v="WINTER15"/>
    <s v="Email"/>
    <x v="235"/>
    <s v="Normal"/>
  </r>
  <r>
    <x v="237"/>
    <x v="216"/>
    <s v="C88645"/>
    <x v="0"/>
    <n v="3"/>
    <n v="583.72"/>
    <s v="783 Main St"/>
    <x v="2"/>
    <x v="0"/>
    <s v="TRK74097570"/>
    <n v="5"/>
    <s v="FREESHIP"/>
    <s v="Facebook"/>
    <x v="236"/>
    <s v="Normal"/>
  </r>
  <r>
    <x v="238"/>
    <x v="217"/>
    <s v="C66149"/>
    <x v="6"/>
    <n v="4"/>
    <n v="384.32"/>
    <s v="770 Main St"/>
    <x v="2"/>
    <x v="4"/>
    <s v="TRK76307307"/>
    <n v="6"/>
    <s v="WINTER15"/>
    <s v="Google"/>
    <x v="237"/>
    <s v="Normal"/>
  </r>
  <r>
    <x v="239"/>
    <x v="218"/>
    <s v="C20256"/>
    <x v="2"/>
    <n v="3"/>
    <n v="538.74"/>
    <s v="456 Main St"/>
    <x v="1"/>
    <x v="0"/>
    <s v="TRK71127943"/>
    <n v="6"/>
    <s v="FREESHIP"/>
    <s v="Email"/>
    <x v="238"/>
    <s v="Normal"/>
  </r>
  <r>
    <x v="240"/>
    <x v="219"/>
    <s v="C14983"/>
    <x v="2"/>
    <n v="1"/>
    <n v="17.239999999999998"/>
    <s v="255 Main St"/>
    <x v="1"/>
    <x v="4"/>
    <s v="TRK93444157"/>
    <n v="2"/>
    <s v="FREESHIP"/>
    <s v="Instagram"/>
    <x v="239"/>
    <s v="Normal"/>
  </r>
  <r>
    <x v="241"/>
    <x v="220"/>
    <s v="C20817"/>
    <x v="3"/>
    <n v="5"/>
    <n v="615.66999999999996"/>
    <s v="407 Main St"/>
    <x v="1"/>
    <x v="4"/>
    <s v="TRK44164590"/>
    <n v="6"/>
    <s v="SAVE10"/>
    <s v="Email"/>
    <x v="240"/>
    <s v="Normal"/>
  </r>
  <r>
    <x v="242"/>
    <x v="221"/>
    <s v="C94921"/>
    <x v="4"/>
    <n v="2"/>
    <n v="219.1"/>
    <s v="134 Main St"/>
    <x v="1"/>
    <x v="4"/>
    <s v="TRK97794327"/>
    <n v="4"/>
    <s v="SAVE10"/>
    <s v="Referral"/>
    <x v="241"/>
    <s v="Normal"/>
  </r>
  <r>
    <x v="243"/>
    <x v="222"/>
    <s v="C54725"/>
    <x v="3"/>
    <n v="2"/>
    <n v="144.66"/>
    <s v="506 Main St"/>
    <x v="1"/>
    <x v="1"/>
    <s v="TRK30601940"/>
    <n v="7"/>
    <s v="FREESHIP"/>
    <s v="Google"/>
    <x v="242"/>
    <s v="Normal"/>
  </r>
  <r>
    <x v="244"/>
    <x v="223"/>
    <s v="C98096"/>
    <x v="6"/>
    <n v="2"/>
    <n v="317.77"/>
    <s v="838 Main St"/>
    <x v="0"/>
    <x v="1"/>
    <s v="TRK51518631"/>
    <n v="4"/>
    <s v="WINTER15"/>
    <s v="Facebook"/>
    <x v="243"/>
    <s v="Normal"/>
  </r>
  <r>
    <x v="245"/>
    <x v="224"/>
    <s v="C12667"/>
    <x v="5"/>
    <n v="1"/>
    <n v="223.3"/>
    <s v="306 Main St"/>
    <x v="1"/>
    <x v="2"/>
    <s v="TRK25390491"/>
    <n v="1"/>
    <s v="No Coupon"/>
    <s v="Facebook"/>
    <x v="244"/>
    <s v="Normal"/>
  </r>
  <r>
    <x v="246"/>
    <x v="225"/>
    <s v="C55354"/>
    <x v="6"/>
    <n v="2"/>
    <n v="342.11"/>
    <s v="164 Main St"/>
    <x v="3"/>
    <x v="0"/>
    <s v="TRK15439493"/>
    <n v="2"/>
    <s v="WINTER15"/>
    <s v="Instagram"/>
    <x v="245"/>
    <s v="Normal"/>
  </r>
  <r>
    <x v="247"/>
    <x v="145"/>
    <s v="C14600"/>
    <x v="4"/>
    <n v="2"/>
    <n v="220.9"/>
    <s v="785 Main St"/>
    <x v="3"/>
    <x v="0"/>
    <s v="TRK84984764"/>
    <n v="4"/>
    <s v="No Coupon"/>
    <s v="Email"/>
    <x v="246"/>
    <s v="Normal"/>
  </r>
  <r>
    <x v="248"/>
    <x v="226"/>
    <s v="C97187"/>
    <x v="5"/>
    <n v="1"/>
    <n v="670.54"/>
    <s v="471 Main St"/>
    <x v="4"/>
    <x v="0"/>
    <s v="TRK62283713"/>
    <n v="6"/>
    <s v="FREESHIP"/>
    <s v="Referral"/>
    <x v="247"/>
    <s v="Normal"/>
  </r>
  <r>
    <x v="249"/>
    <x v="227"/>
    <s v="C39106"/>
    <x v="4"/>
    <n v="1"/>
    <n v="546.19000000000005"/>
    <s v="245 Main St"/>
    <x v="4"/>
    <x v="4"/>
    <s v="TRK35464433"/>
    <n v="5"/>
    <s v="FREESHIP"/>
    <s v="Referral"/>
    <x v="248"/>
    <s v="Normal"/>
  </r>
  <r>
    <x v="250"/>
    <x v="228"/>
    <s v="C93379"/>
    <x v="6"/>
    <n v="3"/>
    <n v="42.95"/>
    <s v="318 Main St"/>
    <x v="3"/>
    <x v="2"/>
    <s v="TRK67954150"/>
    <n v="8"/>
    <s v="SAVE10"/>
    <s v="Email"/>
    <x v="249"/>
    <s v="Normal"/>
  </r>
  <r>
    <x v="251"/>
    <x v="229"/>
    <s v="C93175"/>
    <x v="0"/>
    <n v="4"/>
    <n v="14.69"/>
    <s v="814 Main St"/>
    <x v="4"/>
    <x v="1"/>
    <s v="TRK32995144"/>
    <n v="9"/>
    <s v="No Coupon"/>
    <s v="Email"/>
    <x v="250"/>
    <s v="Normal"/>
  </r>
  <r>
    <x v="252"/>
    <x v="28"/>
    <s v="C19648"/>
    <x v="1"/>
    <n v="4"/>
    <n v="668.36"/>
    <s v="821 Main St"/>
    <x v="3"/>
    <x v="1"/>
    <s v="TRK51297879"/>
    <n v="5"/>
    <s v="FREESHIP"/>
    <s v="Facebook"/>
    <x v="251"/>
    <s v="Normal"/>
  </r>
  <r>
    <x v="253"/>
    <x v="230"/>
    <s v="C14891"/>
    <x v="3"/>
    <n v="4"/>
    <n v="413.74"/>
    <s v="743 Main St"/>
    <x v="3"/>
    <x v="2"/>
    <s v="TRK79471534"/>
    <n v="7"/>
    <s v="FREESHIP"/>
    <s v="Instagram"/>
    <x v="252"/>
    <s v="Normal"/>
  </r>
  <r>
    <x v="254"/>
    <x v="231"/>
    <s v="C10866"/>
    <x v="0"/>
    <n v="3"/>
    <n v="263.19"/>
    <s v="770 Main St"/>
    <x v="1"/>
    <x v="3"/>
    <s v="TRK34809583"/>
    <n v="5"/>
    <s v="No Coupon"/>
    <s v="Instagram"/>
    <x v="253"/>
    <s v="Normal"/>
  </r>
  <r>
    <x v="255"/>
    <x v="232"/>
    <s v="C47283"/>
    <x v="0"/>
    <n v="1"/>
    <n v="263.95999999999998"/>
    <s v="806 Main St"/>
    <x v="3"/>
    <x v="2"/>
    <s v="TRK56235117"/>
    <n v="2"/>
    <s v="SAVE10"/>
    <s v="Google"/>
    <x v="254"/>
    <s v="Normal"/>
  </r>
  <r>
    <x v="256"/>
    <x v="233"/>
    <s v="C94323"/>
    <x v="3"/>
    <n v="5"/>
    <n v="75.81"/>
    <s v="463 Main St"/>
    <x v="3"/>
    <x v="2"/>
    <s v="TRK22663277"/>
    <n v="10"/>
    <s v="WINTER15"/>
    <s v="Instagram"/>
    <x v="255"/>
    <s v="Normal"/>
  </r>
  <r>
    <x v="257"/>
    <x v="234"/>
    <s v="C89732"/>
    <x v="1"/>
    <n v="1"/>
    <n v="406.22"/>
    <s v="712 Main St"/>
    <x v="2"/>
    <x v="1"/>
    <s v="TRK41059233"/>
    <n v="5"/>
    <s v="SAVE10"/>
    <s v="Referral"/>
    <x v="256"/>
    <s v="Normal"/>
  </r>
  <r>
    <x v="258"/>
    <x v="235"/>
    <s v="C87764"/>
    <x v="2"/>
    <n v="2"/>
    <n v="103.41"/>
    <s v="294 Main St"/>
    <x v="1"/>
    <x v="0"/>
    <s v="TRK94082469"/>
    <n v="2"/>
    <s v="FREESHIP"/>
    <s v="Referral"/>
    <x v="257"/>
    <s v="Normal"/>
  </r>
  <r>
    <x v="259"/>
    <x v="236"/>
    <s v="C20977"/>
    <x v="3"/>
    <n v="4"/>
    <n v="435.12"/>
    <s v="636 Main St"/>
    <x v="2"/>
    <x v="3"/>
    <s v="TRK54991561"/>
    <n v="9"/>
    <s v="SAVE10"/>
    <s v="Instagram"/>
    <x v="258"/>
    <s v="Normal"/>
  </r>
  <r>
    <x v="260"/>
    <x v="209"/>
    <s v="C12245"/>
    <x v="0"/>
    <n v="2"/>
    <n v="407.79"/>
    <s v="153 Main St"/>
    <x v="0"/>
    <x v="0"/>
    <s v="TRK22000463"/>
    <n v="3"/>
    <s v="No Coupon"/>
    <s v="Google"/>
    <x v="259"/>
    <s v="Normal"/>
  </r>
  <r>
    <x v="261"/>
    <x v="237"/>
    <s v="C68976"/>
    <x v="1"/>
    <n v="5"/>
    <n v="173.65"/>
    <s v="460 Main St"/>
    <x v="3"/>
    <x v="3"/>
    <s v="TRK25491356"/>
    <n v="9"/>
    <s v="SAVE10"/>
    <s v="Email"/>
    <x v="260"/>
    <s v="Normal"/>
  </r>
  <r>
    <x v="262"/>
    <x v="238"/>
    <s v="C69476"/>
    <x v="1"/>
    <n v="4"/>
    <n v="249.07"/>
    <s v="642 Main St"/>
    <x v="2"/>
    <x v="2"/>
    <s v="TRK65869386"/>
    <n v="5"/>
    <s v="WINTER15"/>
    <s v="Referral"/>
    <x v="261"/>
    <s v="Normal"/>
  </r>
  <r>
    <x v="263"/>
    <x v="239"/>
    <s v="C71040"/>
    <x v="1"/>
    <n v="4"/>
    <n v="434.85"/>
    <s v="250 Main St"/>
    <x v="2"/>
    <x v="4"/>
    <s v="TRK41397604"/>
    <n v="4"/>
    <s v="WINTER15"/>
    <s v="Google"/>
    <x v="262"/>
    <s v="Normal"/>
  </r>
  <r>
    <x v="264"/>
    <x v="240"/>
    <s v="C71035"/>
    <x v="2"/>
    <n v="1"/>
    <n v="436.77"/>
    <s v="977 Main St"/>
    <x v="4"/>
    <x v="2"/>
    <s v="TRK19599578"/>
    <n v="5"/>
    <s v="FREESHIP"/>
    <s v="Google"/>
    <x v="263"/>
    <s v="Normal"/>
  </r>
  <r>
    <x v="265"/>
    <x v="241"/>
    <s v="C20752"/>
    <x v="4"/>
    <n v="1"/>
    <n v="572.13"/>
    <s v="150 Main St"/>
    <x v="0"/>
    <x v="1"/>
    <s v="TRK22298450"/>
    <n v="4"/>
    <s v="SAVE10"/>
    <s v="Google"/>
    <x v="264"/>
    <s v="Normal"/>
  </r>
  <r>
    <x v="266"/>
    <x v="180"/>
    <s v="C38840"/>
    <x v="3"/>
    <n v="4"/>
    <n v="583.07000000000005"/>
    <s v="589 Main St"/>
    <x v="2"/>
    <x v="1"/>
    <s v="TRK48484633"/>
    <n v="6"/>
    <s v="FREESHIP"/>
    <s v="Referral"/>
    <x v="265"/>
    <s v="Normal"/>
  </r>
  <r>
    <x v="267"/>
    <x v="242"/>
    <s v="C84480"/>
    <x v="3"/>
    <n v="5"/>
    <n v="468.51"/>
    <s v="803 Main St"/>
    <x v="0"/>
    <x v="3"/>
    <s v="TRK62361867"/>
    <n v="9"/>
    <s v="No Coupon"/>
    <s v="Facebook"/>
    <x v="266"/>
    <s v="Normal"/>
  </r>
  <r>
    <x v="268"/>
    <x v="178"/>
    <s v="C37032"/>
    <x v="1"/>
    <n v="2"/>
    <n v="423.88"/>
    <s v="655 Main St"/>
    <x v="0"/>
    <x v="3"/>
    <s v="TRK48639226"/>
    <n v="7"/>
    <s v="SAVE10"/>
    <s v="Referral"/>
    <x v="267"/>
    <s v="Normal"/>
  </r>
  <r>
    <x v="269"/>
    <x v="97"/>
    <s v="C48942"/>
    <x v="2"/>
    <n v="4"/>
    <n v="663.67"/>
    <s v="129 Main St"/>
    <x v="2"/>
    <x v="4"/>
    <s v="TRK29355120"/>
    <n v="7"/>
    <s v="FREESHIP"/>
    <s v="Google"/>
    <x v="268"/>
    <s v="Normal"/>
  </r>
  <r>
    <x v="270"/>
    <x v="243"/>
    <s v="C13540"/>
    <x v="4"/>
    <n v="4"/>
    <n v="309.91000000000003"/>
    <s v="127 Main St"/>
    <x v="0"/>
    <x v="0"/>
    <s v="TRK81087373"/>
    <n v="5"/>
    <s v="WINTER15"/>
    <s v="Google"/>
    <x v="269"/>
    <s v="Normal"/>
  </r>
  <r>
    <x v="271"/>
    <x v="125"/>
    <s v="C59572"/>
    <x v="0"/>
    <n v="1"/>
    <n v="542.07000000000005"/>
    <s v="791 Main St"/>
    <x v="4"/>
    <x v="0"/>
    <s v="TRK16792991"/>
    <n v="6"/>
    <s v="WINTER15"/>
    <s v="Referral"/>
    <x v="270"/>
    <s v="Normal"/>
  </r>
  <r>
    <x v="272"/>
    <x v="244"/>
    <s v="C29758"/>
    <x v="3"/>
    <n v="2"/>
    <n v="399.32"/>
    <s v="119 Main St"/>
    <x v="1"/>
    <x v="4"/>
    <s v="TRK12990043"/>
    <n v="6"/>
    <s v="WINTER15"/>
    <s v="Instagram"/>
    <x v="271"/>
    <s v="Normal"/>
  </r>
  <r>
    <x v="273"/>
    <x v="245"/>
    <s v="C11849"/>
    <x v="2"/>
    <n v="2"/>
    <n v="238.25"/>
    <s v="974 Main St"/>
    <x v="1"/>
    <x v="1"/>
    <s v="TRK91195261"/>
    <n v="7"/>
    <s v="FREESHIP"/>
    <s v="Email"/>
    <x v="272"/>
    <s v="Normal"/>
  </r>
  <r>
    <x v="274"/>
    <x v="246"/>
    <s v="C50967"/>
    <x v="1"/>
    <n v="2"/>
    <n v="182.4"/>
    <s v="884 Main St"/>
    <x v="3"/>
    <x v="1"/>
    <s v="TRK65300814"/>
    <n v="5"/>
    <s v="SAVE10"/>
    <s v="Referral"/>
    <x v="273"/>
    <s v="Normal"/>
  </r>
  <r>
    <x v="275"/>
    <x v="247"/>
    <s v="C80735"/>
    <x v="3"/>
    <n v="2"/>
    <n v="65.069999999999993"/>
    <s v="360 Main St"/>
    <x v="2"/>
    <x v="1"/>
    <s v="TRK99880231"/>
    <n v="4"/>
    <s v="SAVE10"/>
    <s v="Google"/>
    <x v="274"/>
    <s v="Normal"/>
  </r>
  <r>
    <x v="276"/>
    <x v="248"/>
    <s v="C99050"/>
    <x v="4"/>
    <n v="2"/>
    <n v="600.57000000000005"/>
    <s v="654 Main St"/>
    <x v="0"/>
    <x v="2"/>
    <s v="TRK56927089"/>
    <n v="3"/>
    <s v="WINTER15"/>
    <s v="Instagram"/>
    <x v="275"/>
    <s v="Normal"/>
  </r>
  <r>
    <x v="277"/>
    <x v="82"/>
    <s v="C11210"/>
    <x v="3"/>
    <n v="5"/>
    <n v="90.92"/>
    <s v="910 Main St"/>
    <x v="2"/>
    <x v="3"/>
    <s v="TRK44929965"/>
    <n v="9"/>
    <s v="SAVE10"/>
    <s v="Facebook"/>
    <x v="276"/>
    <s v="Normal"/>
  </r>
  <r>
    <x v="278"/>
    <x v="249"/>
    <s v="C46015"/>
    <x v="5"/>
    <n v="5"/>
    <n v="362.46"/>
    <s v="299 Main St"/>
    <x v="4"/>
    <x v="3"/>
    <s v="TRK46598430"/>
    <n v="6"/>
    <s v="FREESHIP"/>
    <s v="Instagram"/>
    <x v="277"/>
    <s v="Normal"/>
  </r>
  <r>
    <x v="279"/>
    <x v="250"/>
    <s v="C69167"/>
    <x v="3"/>
    <n v="3"/>
    <n v="55.01"/>
    <s v="263 Main St"/>
    <x v="1"/>
    <x v="4"/>
    <s v="TRK12425655"/>
    <n v="7"/>
    <s v="WINTER15"/>
    <s v="Email"/>
    <x v="278"/>
    <s v="Normal"/>
  </r>
  <r>
    <x v="280"/>
    <x v="14"/>
    <s v="C55388"/>
    <x v="2"/>
    <n v="3"/>
    <n v="404.62"/>
    <s v="740 Main St"/>
    <x v="3"/>
    <x v="3"/>
    <s v="TRK75741001"/>
    <n v="6"/>
    <s v="FREESHIP"/>
    <s v="Instagram"/>
    <x v="279"/>
    <s v="Normal"/>
  </r>
  <r>
    <x v="281"/>
    <x v="152"/>
    <s v="C87181"/>
    <x v="6"/>
    <n v="4"/>
    <n v="654.79"/>
    <s v="195 Main St"/>
    <x v="4"/>
    <x v="4"/>
    <s v="TRK60093390"/>
    <n v="9"/>
    <s v="No Coupon"/>
    <s v="Referral"/>
    <x v="280"/>
    <s v="Normal"/>
  </r>
  <r>
    <x v="282"/>
    <x v="251"/>
    <s v="C30411"/>
    <x v="4"/>
    <n v="4"/>
    <n v="637.79"/>
    <s v="375 Main St"/>
    <x v="3"/>
    <x v="1"/>
    <s v="TRK71810536"/>
    <n v="9"/>
    <s v="FREESHIP"/>
    <s v="Google"/>
    <x v="281"/>
    <s v="Normal"/>
  </r>
  <r>
    <x v="283"/>
    <x v="252"/>
    <s v="C39638"/>
    <x v="5"/>
    <n v="4"/>
    <n v="540.33000000000004"/>
    <s v="990 Main St"/>
    <x v="4"/>
    <x v="0"/>
    <s v="TRK69745608"/>
    <n v="6"/>
    <s v="No Coupon"/>
    <s v="Google"/>
    <x v="282"/>
    <s v="Normal"/>
  </r>
  <r>
    <x v="284"/>
    <x v="223"/>
    <s v="C27203"/>
    <x v="5"/>
    <n v="5"/>
    <n v="208.17"/>
    <s v="516 Main St"/>
    <x v="2"/>
    <x v="2"/>
    <s v="TRK22023906"/>
    <n v="6"/>
    <s v="SAVE10"/>
    <s v="Facebook"/>
    <x v="283"/>
    <s v="Normal"/>
  </r>
  <r>
    <x v="285"/>
    <x v="69"/>
    <s v="C67583"/>
    <x v="1"/>
    <n v="1"/>
    <n v="338.31"/>
    <s v="974 Main St"/>
    <x v="1"/>
    <x v="3"/>
    <s v="TRK93281700"/>
    <n v="3"/>
    <s v="No Coupon"/>
    <s v="Google"/>
    <x v="284"/>
    <s v="Normal"/>
  </r>
  <r>
    <x v="286"/>
    <x v="253"/>
    <s v="C70554"/>
    <x v="0"/>
    <n v="3"/>
    <n v="139.44999999999999"/>
    <s v="187 Main St"/>
    <x v="3"/>
    <x v="2"/>
    <s v="TRK61086952"/>
    <n v="8"/>
    <s v="WINTER15"/>
    <s v="Google"/>
    <x v="285"/>
    <s v="Normal"/>
  </r>
  <r>
    <x v="287"/>
    <x v="254"/>
    <s v="C70437"/>
    <x v="3"/>
    <n v="4"/>
    <n v="655.17999999999995"/>
    <s v="630 Main St"/>
    <x v="1"/>
    <x v="0"/>
    <s v="TRK26628830"/>
    <n v="5"/>
    <s v="No Coupon"/>
    <s v="Facebook"/>
    <x v="286"/>
    <s v="Normal"/>
  </r>
  <r>
    <x v="288"/>
    <x v="255"/>
    <s v="C97643"/>
    <x v="5"/>
    <n v="4"/>
    <n v="512.75"/>
    <s v="537 Main St"/>
    <x v="0"/>
    <x v="2"/>
    <s v="TRK60831391"/>
    <n v="8"/>
    <s v="WINTER15"/>
    <s v="Google"/>
    <x v="287"/>
    <s v="Normal"/>
  </r>
  <r>
    <x v="289"/>
    <x v="256"/>
    <s v="C17136"/>
    <x v="3"/>
    <n v="4"/>
    <n v="160.49"/>
    <s v="333 Main St"/>
    <x v="2"/>
    <x v="0"/>
    <s v="TRK55362541"/>
    <n v="8"/>
    <s v="WINTER15"/>
    <s v="Referral"/>
    <x v="288"/>
    <s v="Normal"/>
  </r>
  <r>
    <x v="290"/>
    <x v="257"/>
    <s v="C24901"/>
    <x v="3"/>
    <n v="3"/>
    <n v="99.9"/>
    <s v="258 Main St"/>
    <x v="4"/>
    <x v="3"/>
    <s v="TRK14029489"/>
    <n v="8"/>
    <s v="FREESHIP"/>
    <s v="Facebook"/>
    <x v="289"/>
    <s v="Normal"/>
  </r>
  <r>
    <x v="291"/>
    <x v="258"/>
    <s v="C61521"/>
    <x v="1"/>
    <n v="2"/>
    <n v="345.01"/>
    <s v="670 Main St"/>
    <x v="2"/>
    <x v="3"/>
    <s v="TRK93676567"/>
    <n v="6"/>
    <s v="FREESHIP"/>
    <s v="Google"/>
    <x v="290"/>
    <s v="Normal"/>
  </r>
  <r>
    <x v="292"/>
    <x v="259"/>
    <s v="C39639"/>
    <x v="0"/>
    <n v="1"/>
    <n v="65.95"/>
    <s v="185 Main St"/>
    <x v="2"/>
    <x v="3"/>
    <s v="TRK31042152"/>
    <n v="5"/>
    <s v="No Coupon"/>
    <s v="Facebook"/>
    <x v="291"/>
    <s v="Normal"/>
  </r>
  <r>
    <x v="293"/>
    <x v="223"/>
    <s v="C33220"/>
    <x v="2"/>
    <n v="4"/>
    <n v="463.04"/>
    <s v="564 Main St"/>
    <x v="3"/>
    <x v="2"/>
    <s v="TRK40450219"/>
    <n v="9"/>
    <s v="No Coupon"/>
    <s v="Instagram"/>
    <x v="292"/>
    <s v="Normal"/>
  </r>
  <r>
    <x v="294"/>
    <x v="260"/>
    <s v="C65414"/>
    <x v="1"/>
    <n v="2"/>
    <n v="297.70999999999998"/>
    <s v="208 Main St"/>
    <x v="1"/>
    <x v="0"/>
    <s v="TRK67562517"/>
    <n v="7"/>
    <s v="SAVE10"/>
    <s v="Referral"/>
    <x v="293"/>
    <s v="Normal"/>
  </r>
  <r>
    <x v="295"/>
    <x v="261"/>
    <s v="C49009"/>
    <x v="4"/>
    <n v="5"/>
    <n v="107.48"/>
    <s v="278 Main St"/>
    <x v="0"/>
    <x v="1"/>
    <s v="TRK46285799"/>
    <n v="9"/>
    <s v="FREESHIP"/>
    <s v="Email"/>
    <x v="294"/>
    <s v="Normal"/>
  </r>
  <r>
    <x v="296"/>
    <x v="83"/>
    <s v="C48453"/>
    <x v="6"/>
    <n v="5"/>
    <n v="638.79999999999995"/>
    <s v="434 Main St"/>
    <x v="0"/>
    <x v="1"/>
    <s v="TRK52110494"/>
    <n v="10"/>
    <s v="WINTER15"/>
    <s v="Referral"/>
    <x v="295"/>
    <s v="Normal"/>
  </r>
  <r>
    <x v="297"/>
    <x v="262"/>
    <s v="C68078"/>
    <x v="6"/>
    <n v="2"/>
    <n v="493.88"/>
    <s v="252 Main St"/>
    <x v="2"/>
    <x v="2"/>
    <s v="TRK64862812"/>
    <n v="7"/>
    <s v="SAVE10"/>
    <s v="Instagram"/>
    <x v="296"/>
    <s v="Normal"/>
  </r>
  <r>
    <x v="298"/>
    <x v="263"/>
    <s v="C19402"/>
    <x v="4"/>
    <n v="4"/>
    <n v="301.17"/>
    <s v="267 Main St"/>
    <x v="1"/>
    <x v="1"/>
    <s v="TRK97825212"/>
    <n v="6"/>
    <s v="No Coupon"/>
    <s v="Email"/>
    <x v="297"/>
    <s v="Normal"/>
  </r>
  <r>
    <x v="299"/>
    <x v="264"/>
    <s v="C30711"/>
    <x v="0"/>
    <n v="1"/>
    <n v="278.66000000000003"/>
    <s v="856 Main St"/>
    <x v="3"/>
    <x v="1"/>
    <s v="TRK42696593"/>
    <n v="2"/>
    <s v="FREESHIP"/>
    <s v="Instagram"/>
    <x v="298"/>
    <s v="Normal"/>
  </r>
  <r>
    <x v="300"/>
    <x v="265"/>
    <s v="C39000"/>
    <x v="1"/>
    <n v="1"/>
    <n v="287.45999999999998"/>
    <s v="894 Main St"/>
    <x v="0"/>
    <x v="2"/>
    <s v="TRK33753945"/>
    <n v="3"/>
    <s v="FREESHIP"/>
    <s v="Facebook"/>
    <x v="299"/>
    <s v="Normal"/>
  </r>
  <r>
    <x v="301"/>
    <x v="67"/>
    <s v="C31105"/>
    <x v="3"/>
    <n v="1"/>
    <n v="583.99"/>
    <s v="726 Main St"/>
    <x v="4"/>
    <x v="1"/>
    <s v="TRK40149095"/>
    <n v="2"/>
    <s v="SAVE10"/>
    <s v="Email"/>
    <x v="300"/>
    <s v="Normal"/>
  </r>
  <r>
    <x v="302"/>
    <x v="220"/>
    <s v="C29432"/>
    <x v="3"/>
    <n v="3"/>
    <n v="468.74"/>
    <s v="121 Main St"/>
    <x v="4"/>
    <x v="4"/>
    <s v="TRK44142517"/>
    <n v="4"/>
    <s v="FREESHIP"/>
    <s v="Instagram"/>
    <x v="301"/>
    <s v="Normal"/>
  </r>
  <r>
    <x v="303"/>
    <x v="34"/>
    <s v="C48531"/>
    <x v="2"/>
    <n v="1"/>
    <n v="30.54"/>
    <s v="368 Main St"/>
    <x v="0"/>
    <x v="2"/>
    <s v="TRK95462192"/>
    <n v="1"/>
    <s v="No Coupon"/>
    <s v="Google"/>
    <x v="302"/>
    <s v="Normal"/>
  </r>
  <r>
    <x v="304"/>
    <x v="266"/>
    <s v="C86762"/>
    <x v="0"/>
    <n v="5"/>
    <n v="408.73"/>
    <s v="326 Main St"/>
    <x v="3"/>
    <x v="3"/>
    <s v="TRK75686292"/>
    <n v="10"/>
    <s v="FREESHIP"/>
    <s v="Instagram"/>
    <x v="303"/>
    <s v="Normal"/>
  </r>
  <r>
    <x v="305"/>
    <x v="97"/>
    <s v="C63822"/>
    <x v="5"/>
    <n v="4"/>
    <n v="126.89"/>
    <s v="235 Main St"/>
    <x v="4"/>
    <x v="4"/>
    <s v="TRK59353216"/>
    <n v="9"/>
    <s v="FREESHIP"/>
    <s v="Instagram"/>
    <x v="304"/>
    <s v="Normal"/>
  </r>
  <r>
    <x v="306"/>
    <x v="267"/>
    <s v="C70495"/>
    <x v="4"/>
    <n v="2"/>
    <n v="57.07"/>
    <s v="238 Main St"/>
    <x v="0"/>
    <x v="2"/>
    <s v="TRK65511225"/>
    <n v="3"/>
    <s v="SAVE10"/>
    <s v="Instagram"/>
    <x v="305"/>
    <s v="Normal"/>
  </r>
  <r>
    <x v="307"/>
    <x v="268"/>
    <s v="C92407"/>
    <x v="5"/>
    <n v="3"/>
    <n v="557.41"/>
    <s v="135 Main St"/>
    <x v="1"/>
    <x v="3"/>
    <s v="TRK11755610"/>
    <n v="4"/>
    <s v="No Coupon"/>
    <s v="Email"/>
    <x v="306"/>
    <s v="Normal"/>
  </r>
  <r>
    <x v="308"/>
    <x v="66"/>
    <s v="C75888"/>
    <x v="4"/>
    <n v="3"/>
    <n v="448.9"/>
    <s v="790 Main St"/>
    <x v="0"/>
    <x v="2"/>
    <s v="TRK98467398"/>
    <n v="7"/>
    <s v="SAVE10"/>
    <s v="Instagram"/>
    <x v="307"/>
    <s v="Normal"/>
  </r>
  <r>
    <x v="309"/>
    <x v="269"/>
    <s v="C63153"/>
    <x v="3"/>
    <n v="4"/>
    <n v="549.76"/>
    <s v="625 Main St"/>
    <x v="0"/>
    <x v="3"/>
    <s v="TRK38033305"/>
    <n v="4"/>
    <s v="FREESHIP"/>
    <s v="Facebook"/>
    <x v="308"/>
    <s v="Normal"/>
  </r>
  <r>
    <x v="310"/>
    <x v="270"/>
    <s v="C85863"/>
    <x v="4"/>
    <n v="3"/>
    <n v="132.47999999999999"/>
    <s v="968 Main St"/>
    <x v="1"/>
    <x v="0"/>
    <s v="TRK16094218"/>
    <n v="4"/>
    <s v="No Coupon"/>
    <s v="Referral"/>
    <x v="309"/>
    <s v="Normal"/>
  </r>
  <r>
    <x v="311"/>
    <x v="271"/>
    <s v="C71698"/>
    <x v="6"/>
    <n v="5"/>
    <n v="489.37"/>
    <s v="274 Main St"/>
    <x v="1"/>
    <x v="2"/>
    <s v="TRK34786818"/>
    <n v="8"/>
    <s v="No Coupon"/>
    <s v="Instagram"/>
    <x v="310"/>
    <s v="Normal"/>
  </r>
  <r>
    <x v="312"/>
    <x v="272"/>
    <s v="C35397"/>
    <x v="4"/>
    <n v="5"/>
    <n v="66.31"/>
    <s v="579 Main St"/>
    <x v="3"/>
    <x v="4"/>
    <s v="TRK64742535"/>
    <n v="7"/>
    <s v="FREESHIP"/>
    <s v="Referral"/>
    <x v="311"/>
    <s v="Normal"/>
  </r>
  <r>
    <x v="313"/>
    <x v="273"/>
    <s v="C67687"/>
    <x v="3"/>
    <n v="2"/>
    <n v="434.3"/>
    <s v="978 Main St"/>
    <x v="4"/>
    <x v="3"/>
    <s v="TRK22838735"/>
    <n v="7"/>
    <s v="SAVE10"/>
    <s v="Instagram"/>
    <x v="312"/>
    <s v="Normal"/>
  </r>
  <r>
    <x v="314"/>
    <x v="274"/>
    <s v="C29931"/>
    <x v="6"/>
    <n v="4"/>
    <n v="153.09"/>
    <s v="540 Main St"/>
    <x v="1"/>
    <x v="3"/>
    <s v="TRK48712417"/>
    <n v="4"/>
    <s v="FREESHIP"/>
    <s v="Referral"/>
    <x v="313"/>
    <s v="Normal"/>
  </r>
  <r>
    <x v="315"/>
    <x v="275"/>
    <s v="C59139"/>
    <x v="2"/>
    <n v="5"/>
    <n v="91.67"/>
    <s v="301 Main St"/>
    <x v="1"/>
    <x v="1"/>
    <s v="TRK45507090"/>
    <n v="9"/>
    <s v="FREESHIP"/>
    <s v="Email"/>
    <x v="314"/>
    <s v="Normal"/>
  </r>
  <r>
    <x v="316"/>
    <x v="276"/>
    <s v="C66078"/>
    <x v="6"/>
    <n v="4"/>
    <n v="275.27999999999997"/>
    <s v="101 Main St"/>
    <x v="3"/>
    <x v="0"/>
    <s v="TRK86474559"/>
    <n v="9"/>
    <s v="WINTER15"/>
    <s v="Facebook"/>
    <x v="315"/>
    <s v="Normal"/>
  </r>
  <r>
    <x v="317"/>
    <x v="132"/>
    <s v="C88370"/>
    <x v="0"/>
    <n v="2"/>
    <n v="139.94999999999999"/>
    <s v="339 Main St"/>
    <x v="1"/>
    <x v="2"/>
    <s v="TRK22575151"/>
    <n v="5"/>
    <s v="No Coupon"/>
    <s v="Instagram"/>
    <x v="316"/>
    <s v="Normal"/>
  </r>
  <r>
    <x v="318"/>
    <x v="277"/>
    <s v="C93375"/>
    <x v="3"/>
    <n v="3"/>
    <n v="148.72"/>
    <s v="317 Main St"/>
    <x v="0"/>
    <x v="1"/>
    <s v="TRK95706967"/>
    <n v="7"/>
    <s v="SAVE10"/>
    <s v="Google"/>
    <x v="317"/>
    <s v="Normal"/>
  </r>
  <r>
    <x v="319"/>
    <x v="278"/>
    <s v="C53049"/>
    <x v="5"/>
    <n v="2"/>
    <n v="563.05999999999995"/>
    <s v="413 Main St"/>
    <x v="4"/>
    <x v="2"/>
    <s v="TRK48974907"/>
    <n v="6"/>
    <s v="No Coupon"/>
    <s v="Instagram"/>
    <x v="318"/>
    <s v="Normal"/>
  </r>
  <r>
    <x v="320"/>
    <x v="36"/>
    <s v="C55590"/>
    <x v="4"/>
    <n v="1"/>
    <n v="625.51"/>
    <s v="772 Main St"/>
    <x v="2"/>
    <x v="0"/>
    <s v="TRK48792951"/>
    <n v="1"/>
    <s v="FREESHIP"/>
    <s v="Facebook"/>
    <x v="319"/>
    <s v="Normal"/>
  </r>
  <r>
    <x v="321"/>
    <x v="279"/>
    <s v="C47086"/>
    <x v="1"/>
    <n v="4"/>
    <n v="152.29"/>
    <s v="135 Main St"/>
    <x v="0"/>
    <x v="1"/>
    <s v="TRK44194358"/>
    <n v="6"/>
    <s v="WINTER15"/>
    <s v="Google"/>
    <x v="320"/>
    <s v="Normal"/>
  </r>
  <r>
    <x v="322"/>
    <x v="280"/>
    <s v="C48646"/>
    <x v="1"/>
    <n v="5"/>
    <n v="231.82"/>
    <s v="339 Main St"/>
    <x v="0"/>
    <x v="3"/>
    <s v="TRK18233748"/>
    <n v="6"/>
    <s v="SAVE10"/>
    <s v="Facebook"/>
    <x v="321"/>
    <s v="Normal"/>
  </r>
  <r>
    <x v="323"/>
    <x v="281"/>
    <s v="C29416"/>
    <x v="5"/>
    <n v="1"/>
    <n v="150.16999999999999"/>
    <s v="414 Main St"/>
    <x v="0"/>
    <x v="2"/>
    <s v="TRK63820842"/>
    <n v="1"/>
    <s v="SAVE10"/>
    <s v="Referral"/>
    <x v="322"/>
    <s v="Normal"/>
  </r>
  <r>
    <x v="324"/>
    <x v="136"/>
    <s v="C13525"/>
    <x v="2"/>
    <n v="3"/>
    <n v="70.930000000000007"/>
    <s v="847 Main St"/>
    <x v="0"/>
    <x v="2"/>
    <s v="TRK70193221"/>
    <n v="5"/>
    <s v="No Coupon"/>
    <s v="Referral"/>
    <x v="323"/>
    <s v="Normal"/>
  </r>
  <r>
    <x v="325"/>
    <x v="282"/>
    <s v="C53545"/>
    <x v="6"/>
    <n v="3"/>
    <n v="361.39"/>
    <s v="665 Main St"/>
    <x v="2"/>
    <x v="0"/>
    <s v="TRK61123177"/>
    <n v="8"/>
    <s v="No Coupon"/>
    <s v="Referral"/>
    <x v="324"/>
    <s v="Normal"/>
  </r>
  <r>
    <x v="326"/>
    <x v="283"/>
    <s v="C65986"/>
    <x v="5"/>
    <n v="5"/>
    <n v="670.48"/>
    <s v="273 Main St"/>
    <x v="3"/>
    <x v="2"/>
    <s v="TRK98353867"/>
    <n v="5"/>
    <s v="SAVE10"/>
    <s v="Facebook"/>
    <x v="325"/>
    <s v="Outlier"/>
  </r>
  <r>
    <x v="327"/>
    <x v="284"/>
    <s v="C17302"/>
    <x v="1"/>
    <n v="1"/>
    <n v="359.99"/>
    <s v="385 Main St"/>
    <x v="3"/>
    <x v="1"/>
    <s v="TRK43940016"/>
    <n v="5"/>
    <s v="SAVE10"/>
    <s v="Email"/>
    <x v="326"/>
    <s v="Normal"/>
  </r>
  <r>
    <x v="328"/>
    <x v="285"/>
    <s v="C18404"/>
    <x v="2"/>
    <n v="5"/>
    <n v="674.04"/>
    <s v="546 Main St"/>
    <x v="1"/>
    <x v="1"/>
    <s v="TRK89401624"/>
    <n v="7"/>
    <s v="SAVE10"/>
    <s v="Google"/>
    <x v="327"/>
    <s v="Outlier"/>
  </r>
  <r>
    <x v="329"/>
    <x v="286"/>
    <s v="C88371"/>
    <x v="3"/>
    <n v="4"/>
    <n v="283.16000000000003"/>
    <s v="306 Main St"/>
    <x v="2"/>
    <x v="0"/>
    <s v="TRK63224811"/>
    <n v="6"/>
    <s v="No Coupon"/>
    <s v="Google"/>
    <x v="328"/>
    <s v="Normal"/>
  </r>
  <r>
    <x v="330"/>
    <x v="287"/>
    <s v="C38068"/>
    <x v="6"/>
    <n v="5"/>
    <n v="260.52999999999997"/>
    <s v="532 Main St"/>
    <x v="3"/>
    <x v="4"/>
    <s v="TRK54059198"/>
    <n v="5"/>
    <s v="SAVE10"/>
    <s v="Instagram"/>
    <x v="329"/>
    <s v="Normal"/>
  </r>
  <r>
    <x v="331"/>
    <x v="288"/>
    <s v="C78724"/>
    <x v="4"/>
    <n v="3"/>
    <n v="422.13"/>
    <s v="187 Main St"/>
    <x v="1"/>
    <x v="3"/>
    <s v="TRK25703134"/>
    <n v="7"/>
    <s v="SAVE10"/>
    <s v="Facebook"/>
    <x v="330"/>
    <s v="Normal"/>
  </r>
  <r>
    <x v="332"/>
    <x v="289"/>
    <s v="C26163"/>
    <x v="6"/>
    <n v="5"/>
    <n v="125.02"/>
    <s v="607 Main St"/>
    <x v="0"/>
    <x v="4"/>
    <s v="TRK67499316"/>
    <n v="9"/>
    <s v="SAVE10"/>
    <s v="Google"/>
    <x v="331"/>
    <s v="Normal"/>
  </r>
  <r>
    <x v="333"/>
    <x v="162"/>
    <s v="C87124"/>
    <x v="1"/>
    <n v="1"/>
    <n v="198.51"/>
    <s v="818 Main St"/>
    <x v="2"/>
    <x v="2"/>
    <s v="TRK52086740"/>
    <n v="5"/>
    <s v="WINTER15"/>
    <s v="Instagram"/>
    <x v="332"/>
    <s v="Normal"/>
  </r>
  <r>
    <x v="334"/>
    <x v="290"/>
    <s v="C90348"/>
    <x v="3"/>
    <n v="4"/>
    <n v="224.75"/>
    <s v="728 Main St"/>
    <x v="1"/>
    <x v="3"/>
    <s v="TRK20635777"/>
    <n v="7"/>
    <s v="WINTER15"/>
    <s v="Facebook"/>
    <x v="333"/>
    <s v="Normal"/>
  </r>
  <r>
    <x v="335"/>
    <x v="291"/>
    <s v="C58721"/>
    <x v="2"/>
    <n v="3"/>
    <n v="205.86"/>
    <s v="978 Main St"/>
    <x v="3"/>
    <x v="0"/>
    <s v="TRK34801199"/>
    <n v="4"/>
    <s v="No Coupon"/>
    <s v="Email"/>
    <x v="334"/>
    <s v="Normal"/>
  </r>
  <r>
    <x v="336"/>
    <x v="10"/>
    <s v="C88174"/>
    <x v="5"/>
    <n v="1"/>
    <n v="18.2"/>
    <s v="441 Main St"/>
    <x v="0"/>
    <x v="4"/>
    <s v="TRK10143345"/>
    <n v="4"/>
    <s v="SAVE10"/>
    <s v="Instagram"/>
    <x v="335"/>
    <s v="Normal"/>
  </r>
  <r>
    <x v="337"/>
    <x v="292"/>
    <s v="C77763"/>
    <x v="2"/>
    <n v="3"/>
    <n v="502.77"/>
    <s v="599 Main St"/>
    <x v="0"/>
    <x v="2"/>
    <s v="TRK66980447"/>
    <n v="8"/>
    <s v="WINTER15"/>
    <s v="Email"/>
    <x v="336"/>
    <s v="Normal"/>
  </r>
  <r>
    <x v="338"/>
    <x v="293"/>
    <s v="C53627"/>
    <x v="1"/>
    <n v="5"/>
    <n v="305.49"/>
    <s v="704 Main St"/>
    <x v="0"/>
    <x v="0"/>
    <s v="TRK64112352"/>
    <n v="10"/>
    <s v="No Coupon"/>
    <s v="Referral"/>
    <x v="337"/>
    <s v="Normal"/>
  </r>
  <r>
    <x v="339"/>
    <x v="294"/>
    <s v="C84563"/>
    <x v="4"/>
    <n v="2"/>
    <n v="236.33"/>
    <s v="398 Main St"/>
    <x v="1"/>
    <x v="4"/>
    <s v="TRK62422797"/>
    <n v="3"/>
    <s v="SAVE10"/>
    <s v="Instagram"/>
    <x v="338"/>
    <s v="Normal"/>
  </r>
  <r>
    <x v="340"/>
    <x v="295"/>
    <s v="C76207"/>
    <x v="5"/>
    <n v="5"/>
    <n v="521.25"/>
    <s v="826 Main St"/>
    <x v="4"/>
    <x v="1"/>
    <s v="TRK25569378"/>
    <n v="8"/>
    <s v="No Coupon"/>
    <s v="Email"/>
    <x v="339"/>
    <s v="Normal"/>
  </r>
  <r>
    <x v="341"/>
    <x v="296"/>
    <s v="C94671"/>
    <x v="2"/>
    <n v="1"/>
    <n v="167.15"/>
    <s v="293 Main St"/>
    <x v="3"/>
    <x v="0"/>
    <s v="TRK61357272"/>
    <n v="5"/>
    <s v="WINTER15"/>
    <s v="Email"/>
    <x v="340"/>
    <s v="Normal"/>
  </r>
  <r>
    <x v="342"/>
    <x v="53"/>
    <s v="C69994"/>
    <x v="0"/>
    <n v="5"/>
    <n v="466.42"/>
    <s v="619 Main St"/>
    <x v="3"/>
    <x v="2"/>
    <s v="TRK95935805"/>
    <n v="5"/>
    <s v="No Coupon"/>
    <s v="Referral"/>
    <x v="341"/>
    <s v="Normal"/>
  </r>
  <r>
    <x v="343"/>
    <x v="297"/>
    <s v="C64638"/>
    <x v="4"/>
    <n v="1"/>
    <n v="527.57000000000005"/>
    <s v="919 Main St"/>
    <x v="0"/>
    <x v="4"/>
    <s v="TRK64087938"/>
    <n v="3"/>
    <s v="FREESHIP"/>
    <s v="Facebook"/>
    <x v="342"/>
    <s v="Normal"/>
  </r>
  <r>
    <x v="344"/>
    <x v="298"/>
    <s v="C95623"/>
    <x v="2"/>
    <n v="3"/>
    <n v="623.34"/>
    <s v="248 Main St"/>
    <x v="1"/>
    <x v="1"/>
    <s v="TRK67558189"/>
    <n v="3"/>
    <s v="SAVE10"/>
    <s v="Instagram"/>
    <x v="343"/>
    <s v="Normal"/>
  </r>
  <r>
    <x v="345"/>
    <x v="173"/>
    <s v="C24751"/>
    <x v="2"/>
    <n v="5"/>
    <n v="501.26"/>
    <s v="259 Main St"/>
    <x v="3"/>
    <x v="0"/>
    <s v="TRK37285406"/>
    <n v="10"/>
    <s v="FREESHIP"/>
    <s v="Referral"/>
    <x v="344"/>
    <s v="Normal"/>
  </r>
  <r>
    <x v="346"/>
    <x v="299"/>
    <s v="C31764"/>
    <x v="2"/>
    <n v="1"/>
    <n v="655.09"/>
    <s v="876 Main St"/>
    <x v="4"/>
    <x v="4"/>
    <s v="TRK44680433"/>
    <n v="6"/>
    <s v="No Coupon"/>
    <s v="Referral"/>
    <x v="345"/>
    <s v="Normal"/>
  </r>
  <r>
    <x v="347"/>
    <x v="300"/>
    <s v="C83556"/>
    <x v="4"/>
    <n v="4"/>
    <n v="264.79000000000002"/>
    <s v="380 Main St"/>
    <x v="2"/>
    <x v="4"/>
    <s v="TRK21109187"/>
    <n v="5"/>
    <s v="SAVE10"/>
    <s v="Google"/>
    <x v="346"/>
    <s v="Normal"/>
  </r>
  <r>
    <x v="348"/>
    <x v="206"/>
    <s v="C24369"/>
    <x v="5"/>
    <n v="3"/>
    <n v="359.73"/>
    <s v="885 Main St"/>
    <x v="0"/>
    <x v="2"/>
    <s v="TRK72633998"/>
    <n v="7"/>
    <s v="FREESHIP"/>
    <s v="Email"/>
    <x v="347"/>
    <s v="Normal"/>
  </r>
  <r>
    <x v="349"/>
    <x v="115"/>
    <s v="C39648"/>
    <x v="3"/>
    <n v="1"/>
    <n v="465.33"/>
    <s v="824 Main St"/>
    <x v="3"/>
    <x v="3"/>
    <s v="TRK56016905"/>
    <n v="2"/>
    <s v="FREESHIP"/>
    <s v="Google"/>
    <x v="348"/>
    <s v="Normal"/>
  </r>
  <r>
    <x v="350"/>
    <x v="301"/>
    <s v="C13296"/>
    <x v="3"/>
    <n v="2"/>
    <n v="54.41"/>
    <s v="495 Main St"/>
    <x v="1"/>
    <x v="0"/>
    <s v="TRK60127216"/>
    <n v="6"/>
    <s v="No Coupon"/>
    <s v="Instagram"/>
    <x v="349"/>
    <s v="Normal"/>
  </r>
  <r>
    <x v="351"/>
    <x v="302"/>
    <s v="C94248"/>
    <x v="5"/>
    <n v="1"/>
    <n v="64.66"/>
    <s v="494 Main St"/>
    <x v="0"/>
    <x v="3"/>
    <s v="TRK89406816"/>
    <n v="4"/>
    <s v="No Coupon"/>
    <s v="Instagram"/>
    <x v="350"/>
    <s v="Normal"/>
  </r>
  <r>
    <x v="352"/>
    <x v="303"/>
    <s v="C26637"/>
    <x v="3"/>
    <n v="5"/>
    <n v="173.96"/>
    <s v="995 Main St"/>
    <x v="0"/>
    <x v="4"/>
    <s v="TRK59546992"/>
    <n v="8"/>
    <s v="WINTER15"/>
    <s v="Instagram"/>
    <x v="351"/>
    <s v="Normal"/>
  </r>
  <r>
    <x v="353"/>
    <x v="210"/>
    <s v="C16012"/>
    <x v="2"/>
    <n v="1"/>
    <n v="630.82000000000005"/>
    <s v="171 Main St"/>
    <x v="1"/>
    <x v="3"/>
    <s v="TRK15195225"/>
    <n v="5"/>
    <s v="FREESHIP"/>
    <s v="Google"/>
    <x v="352"/>
    <s v="Normal"/>
  </r>
  <r>
    <x v="354"/>
    <x v="304"/>
    <s v="C31772"/>
    <x v="1"/>
    <n v="1"/>
    <n v="693.41"/>
    <s v="992 Main St"/>
    <x v="0"/>
    <x v="0"/>
    <s v="TRK11970357"/>
    <n v="4"/>
    <s v="No Coupon"/>
    <s v="Instagram"/>
    <x v="353"/>
    <s v="Normal"/>
  </r>
  <r>
    <x v="355"/>
    <x v="305"/>
    <s v="C18353"/>
    <x v="2"/>
    <n v="3"/>
    <n v="433.33"/>
    <s v="677 Main St"/>
    <x v="2"/>
    <x v="1"/>
    <s v="TRK78766533"/>
    <n v="4"/>
    <s v="FREESHIP"/>
    <s v="Referral"/>
    <x v="354"/>
    <s v="Normal"/>
  </r>
  <r>
    <x v="356"/>
    <x v="306"/>
    <s v="C26966"/>
    <x v="4"/>
    <n v="5"/>
    <n v="374.58"/>
    <s v="907 Main St"/>
    <x v="3"/>
    <x v="1"/>
    <s v="TRK83889574"/>
    <n v="10"/>
    <s v="FREESHIP"/>
    <s v="Instagram"/>
    <x v="355"/>
    <s v="Normal"/>
  </r>
  <r>
    <x v="357"/>
    <x v="307"/>
    <s v="C74982"/>
    <x v="5"/>
    <n v="5"/>
    <n v="408.56"/>
    <s v="398 Main St"/>
    <x v="0"/>
    <x v="3"/>
    <s v="TRK98700702"/>
    <n v="8"/>
    <s v="FREESHIP"/>
    <s v="Instagram"/>
    <x v="356"/>
    <s v="Normal"/>
  </r>
  <r>
    <x v="358"/>
    <x v="158"/>
    <s v="C70633"/>
    <x v="2"/>
    <n v="2"/>
    <n v="183.67"/>
    <s v="747 Main St"/>
    <x v="1"/>
    <x v="1"/>
    <s v="TRK82540521"/>
    <n v="3"/>
    <s v="SAVE10"/>
    <s v="Google"/>
    <x v="357"/>
    <s v="Normal"/>
  </r>
  <r>
    <x v="359"/>
    <x v="308"/>
    <s v="C95643"/>
    <x v="6"/>
    <n v="4"/>
    <n v="606.57000000000005"/>
    <s v="303 Main St"/>
    <x v="0"/>
    <x v="3"/>
    <s v="TRK23286689"/>
    <n v="5"/>
    <s v="WINTER15"/>
    <s v="Referral"/>
    <x v="358"/>
    <s v="Normal"/>
  </r>
  <r>
    <x v="360"/>
    <x v="309"/>
    <s v="C53810"/>
    <x v="1"/>
    <n v="4"/>
    <n v="589.57000000000005"/>
    <s v="779 Main St"/>
    <x v="4"/>
    <x v="4"/>
    <s v="TRK34630612"/>
    <n v="8"/>
    <s v="No Coupon"/>
    <s v="Instagram"/>
    <x v="359"/>
    <s v="Normal"/>
  </r>
  <r>
    <x v="361"/>
    <x v="310"/>
    <s v="C53464"/>
    <x v="4"/>
    <n v="5"/>
    <n v="659.85"/>
    <s v="197 Main St"/>
    <x v="2"/>
    <x v="3"/>
    <s v="TRK32743531"/>
    <n v="9"/>
    <s v="SAVE10"/>
    <s v="Facebook"/>
    <x v="360"/>
    <s v="Normal"/>
  </r>
  <r>
    <x v="362"/>
    <x v="78"/>
    <s v="C53697"/>
    <x v="0"/>
    <n v="4"/>
    <n v="206.84"/>
    <s v="312 Main St"/>
    <x v="4"/>
    <x v="1"/>
    <s v="TRK60476656"/>
    <n v="5"/>
    <s v="WINTER15"/>
    <s v="Instagram"/>
    <x v="361"/>
    <s v="Normal"/>
  </r>
  <r>
    <x v="363"/>
    <x v="75"/>
    <s v="C31668"/>
    <x v="5"/>
    <n v="5"/>
    <n v="113.87"/>
    <s v="871 Main St"/>
    <x v="2"/>
    <x v="4"/>
    <s v="TRK42584392"/>
    <n v="6"/>
    <s v="SAVE10"/>
    <s v="Email"/>
    <x v="362"/>
    <s v="Normal"/>
  </r>
  <r>
    <x v="364"/>
    <x v="254"/>
    <s v="C85282"/>
    <x v="1"/>
    <n v="5"/>
    <n v="628.74"/>
    <s v="740 Main St"/>
    <x v="4"/>
    <x v="1"/>
    <s v="TRK86767206"/>
    <n v="9"/>
    <s v="FREESHIP"/>
    <s v="Facebook"/>
    <x v="363"/>
    <s v="Normal"/>
  </r>
  <r>
    <x v="365"/>
    <x v="311"/>
    <s v="C56796"/>
    <x v="1"/>
    <n v="1"/>
    <n v="678.38"/>
    <s v="607 Main St"/>
    <x v="2"/>
    <x v="1"/>
    <s v="TRK74263180"/>
    <n v="4"/>
    <s v="SAVE10"/>
    <s v="Referral"/>
    <x v="364"/>
    <s v="Normal"/>
  </r>
  <r>
    <x v="366"/>
    <x v="312"/>
    <s v="C95213"/>
    <x v="4"/>
    <n v="3"/>
    <n v="602.24"/>
    <s v="603 Main St"/>
    <x v="0"/>
    <x v="4"/>
    <s v="TRK40630538"/>
    <n v="8"/>
    <s v="No Coupon"/>
    <s v="Referral"/>
    <x v="365"/>
    <s v="Normal"/>
  </r>
  <r>
    <x v="367"/>
    <x v="313"/>
    <s v="C13108"/>
    <x v="5"/>
    <n v="5"/>
    <n v="658.77"/>
    <s v="712 Main St"/>
    <x v="3"/>
    <x v="4"/>
    <s v="TRK82284400"/>
    <n v="10"/>
    <s v="FREESHIP"/>
    <s v="Instagram"/>
    <x v="366"/>
    <s v="Normal"/>
  </r>
  <r>
    <x v="368"/>
    <x v="31"/>
    <s v="C85322"/>
    <x v="0"/>
    <n v="3"/>
    <n v="271.02"/>
    <s v="403 Main St"/>
    <x v="2"/>
    <x v="1"/>
    <s v="TRK89728869"/>
    <n v="6"/>
    <s v="No Coupon"/>
    <s v="Google"/>
    <x v="367"/>
    <s v="Normal"/>
  </r>
  <r>
    <x v="369"/>
    <x v="70"/>
    <s v="C43545"/>
    <x v="0"/>
    <n v="5"/>
    <n v="375.25"/>
    <s v="216 Main St"/>
    <x v="3"/>
    <x v="4"/>
    <s v="TRK73937402"/>
    <n v="9"/>
    <s v="SAVE10"/>
    <s v="Email"/>
    <x v="368"/>
    <s v="Normal"/>
  </r>
  <r>
    <x v="370"/>
    <x v="120"/>
    <s v="C80649"/>
    <x v="1"/>
    <n v="1"/>
    <n v="312.11"/>
    <s v="870 Main St"/>
    <x v="1"/>
    <x v="1"/>
    <s v="TRK41143313"/>
    <n v="4"/>
    <s v="WINTER15"/>
    <s v="Facebook"/>
    <x v="369"/>
    <s v="Normal"/>
  </r>
  <r>
    <x v="371"/>
    <x v="314"/>
    <s v="C59752"/>
    <x v="1"/>
    <n v="5"/>
    <n v="307.76"/>
    <s v="179 Main St"/>
    <x v="3"/>
    <x v="4"/>
    <s v="TRK82229639"/>
    <n v="9"/>
    <s v="FREESHIP"/>
    <s v="Google"/>
    <x v="370"/>
    <s v="Normal"/>
  </r>
  <r>
    <x v="372"/>
    <x v="311"/>
    <s v="C53645"/>
    <x v="3"/>
    <n v="3"/>
    <n v="483.53"/>
    <s v="166 Main St"/>
    <x v="4"/>
    <x v="2"/>
    <s v="TRK12123939"/>
    <n v="4"/>
    <s v="No Coupon"/>
    <s v="Referral"/>
    <x v="371"/>
    <s v="Normal"/>
  </r>
  <r>
    <x v="373"/>
    <x v="315"/>
    <s v="C60178"/>
    <x v="5"/>
    <n v="3"/>
    <n v="341.15"/>
    <s v="969 Main St"/>
    <x v="4"/>
    <x v="4"/>
    <s v="TRK84505143"/>
    <n v="4"/>
    <s v="FREESHIP"/>
    <s v="Instagram"/>
    <x v="372"/>
    <s v="Normal"/>
  </r>
  <r>
    <x v="374"/>
    <x v="316"/>
    <s v="C20286"/>
    <x v="0"/>
    <n v="1"/>
    <n v="571.9"/>
    <s v="129 Main St"/>
    <x v="3"/>
    <x v="4"/>
    <s v="TRK67648338"/>
    <n v="1"/>
    <s v="WINTER15"/>
    <s v="Instagram"/>
    <x v="373"/>
    <s v="Normal"/>
  </r>
  <r>
    <x v="375"/>
    <x v="317"/>
    <s v="C87547"/>
    <x v="0"/>
    <n v="4"/>
    <n v="95.03"/>
    <s v="400 Main St"/>
    <x v="1"/>
    <x v="0"/>
    <s v="TRK71027262"/>
    <n v="8"/>
    <s v="FREESHIP"/>
    <s v="Facebook"/>
    <x v="374"/>
    <s v="Normal"/>
  </r>
  <r>
    <x v="376"/>
    <x v="318"/>
    <s v="C64549"/>
    <x v="0"/>
    <n v="5"/>
    <n v="201.22"/>
    <s v="341 Main St"/>
    <x v="0"/>
    <x v="4"/>
    <s v="TRK20788231"/>
    <n v="6"/>
    <s v="FREESHIP"/>
    <s v="Facebook"/>
    <x v="375"/>
    <s v="Normal"/>
  </r>
  <r>
    <x v="377"/>
    <x v="319"/>
    <s v="C24884"/>
    <x v="0"/>
    <n v="1"/>
    <n v="260.26"/>
    <s v="625 Main St"/>
    <x v="1"/>
    <x v="4"/>
    <s v="TRK44538419"/>
    <n v="5"/>
    <s v="WINTER15"/>
    <s v="Instagram"/>
    <x v="376"/>
    <s v="Normal"/>
  </r>
  <r>
    <x v="378"/>
    <x v="320"/>
    <s v="C62666"/>
    <x v="3"/>
    <n v="5"/>
    <n v="64.5"/>
    <s v="148 Main St"/>
    <x v="2"/>
    <x v="4"/>
    <s v="TRK91029390"/>
    <n v="8"/>
    <s v="WINTER15"/>
    <s v="Instagram"/>
    <x v="377"/>
    <s v="Normal"/>
  </r>
  <r>
    <x v="379"/>
    <x v="321"/>
    <s v="C47284"/>
    <x v="1"/>
    <n v="3"/>
    <n v="297.67"/>
    <s v="500 Main St"/>
    <x v="1"/>
    <x v="0"/>
    <s v="TRK85756094"/>
    <n v="6"/>
    <s v="No Coupon"/>
    <s v="Google"/>
    <x v="378"/>
    <s v="Normal"/>
  </r>
  <r>
    <x v="380"/>
    <x v="322"/>
    <s v="C35355"/>
    <x v="4"/>
    <n v="4"/>
    <n v="331.9"/>
    <s v="127 Main St"/>
    <x v="4"/>
    <x v="4"/>
    <s v="TRK52935059"/>
    <n v="5"/>
    <s v="SAVE10"/>
    <s v="Instagram"/>
    <x v="379"/>
    <s v="Normal"/>
  </r>
  <r>
    <x v="381"/>
    <x v="323"/>
    <s v="C29467"/>
    <x v="3"/>
    <n v="1"/>
    <n v="191.76"/>
    <s v="223 Main St"/>
    <x v="2"/>
    <x v="2"/>
    <s v="TRK98103385"/>
    <n v="1"/>
    <s v="FREESHIP"/>
    <s v="Instagram"/>
    <x v="380"/>
    <s v="Normal"/>
  </r>
  <r>
    <x v="382"/>
    <x v="324"/>
    <s v="C26718"/>
    <x v="4"/>
    <n v="4"/>
    <n v="263.08999999999997"/>
    <s v="272 Main St"/>
    <x v="0"/>
    <x v="0"/>
    <s v="TRK91702525"/>
    <n v="8"/>
    <s v="SAVE10"/>
    <s v="Google"/>
    <x v="381"/>
    <s v="Normal"/>
  </r>
  <r>
    <x v="383"/>
    <x v="325"/>
    <s v="C18944"/>
    <x v="3"/>
    <n v="4"/>
    <n v="393.8"/>
    <s v="837 Main St"/>
    <x v="2"/>
    <x v="4"/>
    <s v="TRK45275439"/>
    <n v="7"/>
    <s v="SAVE10"/>
    <s v="Email"/>
    <x v="382"/>
    <s v="Normal"/>
  </r>
  <r>
    <x v="384"/>
    <x v="167"/>
    <s v="C35628"/>
    <x v="3"/>
    <n v="3"/>
    <n v="553.57000000000005"/>
    <s v="147 Main St"/>
    <x v="2"/>
    <x v="2"/>
    <s v="TRK45688220"/>
    <n v="4"/>
    <s v="FREESHIP"/>
    <s v="Facebook"/>
    <x v="383"/>
    <s v="Normal"/>
  </r>
  <r>
    <x v="385"/>
    <x v="150"/>
    <s v="C56851"/>
    <x v="3"/>
    <n v="5"/>
    <n v="191.63"/>
    <s v="752 Main St"/>
    <x v="3"/>
    <x v="3"/>
    <s v="TRK65290904"/>
    <n v="6"/>
    <s v="FREESHIP"/>
    <s v="Facebook"/>
    <x v="384"/>
    <s v="Normal"/>
  </r>
  <r>
    <x v="386"/>
    <x v="200"/>
    <s v="C12421"/>
    <x v="2"/>
    <n v="1"/>
    <n v="93.02"/>
    <s v="373 Main St"/>
    <x v="1"/>
    <x v="2"/>
    <s v="TRK32588504"/>
    <n v="4"/>
    <s v="No Coupon"/>
    <s v="Email"/>
    <x v="385"/>
    <s v="Normal"/>
  </r>
  <r>
    <x v="387"/>
    <x v="326"/>
    <s v="C25316"/>
    <x v="4"/>
    <n v="2"/>
    <n v="39.53"/>
    <s v="904 Main St"/>
    <x v="2"/>
    <x v="0"/>
    <s v="TRK55423551"/>
    <n v="3"/>
    <s v="WINTER15"/>
    <s v="Google"/>
    <x v="386"/>
    <s v="Normal"/>
  </r>
  <r>
    <x v="388"/>
    <x v="153"/>
    <s v="C22657"/>
    <x v="4"/>
    <n v="3"/>
    <n v="633.97"/>
    <s v="152 Main St"/>
    <x v="4"/>
    <x v="4"/>
    <s v="TRK49157047"/>
    <n v="7"/>
    <s v="WINTER15"/>
    <s v="Facebook"/>
    <x v="387"/>
    <s v="Normal"/>
  </r>
  <r>
    <x v="389"/>
    <x v="327"/>
    <s v="C29703"/>
    <x v="6"/>
    <n v="4"/>
    <n v="697.5"/>
    <s v="558 Main St"/>
    <x v="4"/>
    <x v="0"/>
    <s v="TRK40543461"/>
    <n v="7"/>
    <s v="FREESHIP"/>
    <s v="Referral"/>
    <x v="388"/>
    <s v="Normal"/>
  </r>
  <r>
    <x v="390"/>
    <x v="328"/>
    <s v="C55996"/>
    <x v="4"/>
    <n v="5"/>
    <n v="508.69"/>
    <s v="885 Main St"/>
    <x v="4"/>
    <x v="3"/>
    <s v="TRK30547638"/>
    <n v="10"/>
    <s v="FREESHIP"/>
    <s v="Google"/>
    <x v="389"/>
    <s v="Normal"/>
  </r>
  <r>
    <x v="391"/>
    <x v="317"/>
    <s v="C60037"/>
    <x v="5"/>
    <n v="2"/>
    <n v="527.46"/>
    <s v="516 Main St"/>
    <x v="0"/>
    <x v="1"/>
    <s v="TRK82009557"/>
    <n v="3"/>
    <s v="FREESHIP"/>
    <s v="Referral"/>
    <x v="390"/>
    <s v="Normal"/>
  </r>
  <r>
    <x v="392"/>
    <x v="329"/>
    <s v="C95100"/>
    <x v="1"/>
    <n v="1"/>
    <n v="627.20000000000005"/>
    <s v="197 Main St"/>
    <x v="1"/>
    <x v="3"/>
    <s v="TRK47366265"/>
    <n v="1"/>
    <s v="WINTER15"/>
    <s v="Email"/>
    <x v="391"/>
    <s v="Normal"/>
  </r>
  <r>
    <x v="393"/>
    <x v="330"/>
    <s v="C39906"/>
    <x v="4"/>
    <n v="1"/>
    <n v="75.010000000000005"/>
    <s v="921 Main St"/>
    <x v="2"/>
    <x v="2"/>
    <s v="TRK24632134"/>
    <n v="3"/>
    <s v="No Coupon"/>
    <s v="Google"/>
    <x v="392"/>
    <s v="Normal"/>
  </r>
  <r>
    <x v="394"/>
    <x v="176"/>
    <s v="C70148"/>
    <x v="6"/>
    <n v="5"/>
    <n v="529.54999999999995"/>
    <s v="359 Main St"/>
    <x v="3"/>
    <x v="0"/>
    <s v="TRK34848650"/>
    <n v="10"/>
    <s v="No Coupon"/>
    <s v="Facebook"/>
    <x v="393"/>
    <s v="Normal"/>
  </r>
  <r>
    <x v="395"/>
    <x v="331"/>
    <s v="C30010"/>
    <x v="1"/>
    <n v="3"/>
    <n v="127.41"/>
    <s v="830 Main St"/>
    <x v="3"/>
    <x v="3"/>
    <s v="TRK35386084"/>
    <n v="7"/>
    <s v="SAVE10"/>
    <s v="Referral"/>
    <x v="394"/>
    <s v="Normal"/>
  </r>
  <r>
    <x v="396"/>
    <x v="142"/>
    <s v="C99217"/>
    <x v="2"/>
    <n v="5"/>
    <n v="287.13"/>
    <s v="778 Main St"/>
    <x v="1"/>
    <x v="0"/>
    <s v="TRK82004594"/>
    <n v="10"/>
    <s v="SAVE10"/>
    <s v="Email"/>
    <x v="395"/>
    <s v="Normal"/>
  </r>
  <r>
    <x v="397"/>
    <x v="332"/>
    <s v="C30184"/>
    <x v="0"/>
    <n v="1"/>
    <n v="427.06"/>
    <s v="987 Main St"/>
    <x v="1"/>
    <x v="1"/>
    <s v="TRK86674704"/>
    <n v="1"/>
    <s v="WINTER15"/>
    <s v="Referral"/>
    <x v="396"/>
    <s v="Normal"/>
  </r>
  <r>
    <x v="398"/>
    <x v="333"/>
    <s v="C50275"/>
    <x v="1"/>
    <n v="5"/>
    <n v="53.93"/>
    <s v="729 Main St"/>
    <x v="3"/>
    <x v="0"/>
    <s v="TRK98925264"/>
    <n v="7"/>
    <s v="SAVE10"/>
    <s v="Instagram"/>
    <x v="397"/>
    <s v="Normal"/>
  </r>
  <r>
    <x v="399"/>
    <x v="334"/>
    <s v="C64641"/>
    <x v="2"/>
    <n v="5"/>
    <n v="423.93"/>
    <s v="319 Main St"/>
    <x v="0"/>
    <x v="2"/>
    <s v="TRK32012588"/>
    <n v="5"/>
    <s v="FREESHIP"/>
    <s v="Facebook"/>
    <x v="398"/>
    <s v="Normal"/>
  </r>
  <r>
    <x v="400"/>
    <x v="335"/>
    <s v="C56266"/>
    <x v="6"/>
    <n v="4"/>
    <n v="160.22"/>
    <s v="304 Main St"/>
    <x v="0"/>
    <x v="2"/>
    <s v="TRK60088901"/>
    <n v="9"/>
    <s v="WINTER15"/>
    <s v="Instagram"/>
    <x v="399"/>
    <s v="Normal"/>
  </r>
  <r>
    <x v="401"/>
    <x v="23"/>
    <s v="C98635"/>
    <x v="4"/>
    <n v="1"/>
    <n v="538.67999999999995"/>
    <s v="197 Main St"/>
    <x v="0"/>
    <x v="2"/>
    <s v="TRK14225465"/>
    <n v="6"/>
    <s v="No Coupon"/>
    <s v="Referral"/>
    <x v="400"/>
    <s v="Normal"/>
  </r>
  <r>
    <x v="402"/>
    <x v="336"/>
    <s v="C83026"/>
    <x v="4"/>
    <n v="5"/>
    <n v="337.38"/>
    <s v="858 Main St"/>
    <x v="3"/>
    <x v="0"/>
    <s v="TRK79746259"/>
    <n v="5"/>
    <s v="No Coupon"/>
    <s v="Referral"/>
    <x v="401"/>
    <s v="Normal"/>
  </r>
  <r>
    <x v="403"/>
    <x v="337"/>
    <s v="C28893"/>
    <x v="2"/>
    <n v="1"/>
    <n v="620.21"/>
    <s v="740 Main St"/>
    <x v="1"/>
    <x v="2"/>
    <s v="TRK98333066"/>
    <n v="1"/>
    <s v="FREESHIP"/>
    <s v="Referral"/>
    <x v="402"/>
    <s v="Normal"/>
  </r>
  <r>
    <x v="404"/>
    <x v="338"/>
    <s v="C45482"/>
    <x v="0"/>
    <n v="2"/>
    <n v="99.1"/>
    <s v="440 Main St"/>
    <x v="4"/>
    <x v="3"/>
    <s v="TRK54571699"/>
    <n v="6"/>
    <s v="No Coupon"/>
    <s v="Instagram"/>
    <x v="403"/>
    <s v="Normal"/>
  </r>
  <r>
    <x v="405"/>
    <x v="281"/>
    <s v="C97774"/>
    <x v="0"/>
    <n v="4"/>
    <n v="451.97"/>
    <s v="603 Main St"/>
    <x v="1"/>
    <x v="1"/>
    <s v="TRK64664424"/>
    <n v="7"/>
    <s v="WINTER15"/>
    <s v="Email"/>
    <x v="404"/>
    <s v="Normal"/>
  </r>
  <r>
    <x v="406"/>
    <x v="339"/>
    <s v="C11657"/>
    <x v="2"/>
    <n v="4"/>
    <n v="66.099999999999994"/>
    <s v="572 Main St"/>
    <x v="4"/>
    <x v="2"/>
    <s v="TRK50284486"/>
    <n v="9"/>
    <s v="WINTER15"/>
    <s v="Google"/>
    <x v="405"/>
    <s v="Normal"/>
  </r>
  <r>
    <x v="407"/>
    <x v="340"/>
    <s v="C85993"/>
    <x v="2"/>
    <n v="4"/>
    <n v="547.32000000000005"/>
    <s v="250 Main St"/>
    <x v="4"/>
    <x v="2"/>
    <s v="TRK72547640"/>
    <n v="8"/>
    <s v="FREESHIP"/>
    <s v="Instagram"/>
    <x v="406"/>
    <s v="Normal"/>
  </r>
  <r>
    <x v="408"/>
    <x v="341"/>
    <s v="C11906"/>
    <x v="4"/>
    <n v="3"/>
    <n v="412.53"/>
    <s v="536 Main St"/>
    <x v="1"/>
    <x v="4"/>
    <s v="TRK31140158"/>
    <n v="6"/>
    <s v="WINTER15"/>
    <s v="Google"/>
    <x v="407"/>
    <s v="Normal"/>
  </r>
  <r>
    <x v="409"/>
    <x v="342"/>
    <s v="C45187"/>
    <x v="6"/>
    <n v="5"/>
    <n v="84.13"/>
    <s v="767 Main St"/>
    <x v="1"/>
    <x v="3"/>
    <s v="TRK12320793"/>
    <n v="9"/>
    <s v="SAVE10"/>
    <s v="Google"/>
    <x v="408"/>
    <s v="Normal"/>
  </r>
  <r>
    <x v="410"/>
    <x v="343"/>
    <s v="C37375"/>
    <x v="2"/>
    <n v="2"/>
    <n v="518.23"/>
    <s v="184 Main St"/>
    <x v="0"/>
    <x v="0"/>
    <s v="TRK52470162"/>
    <n v="5"/>
    <s v="No Coupon"/>
    <s v="Email"/>
    <x v="409"/>
    <s v="Normal"/>
  </r>
  <r>
    <x v="411"/>
    <x v="83"/>
    <s v="C66567"/>
    <x v="6"/>
    <n v="2"/>
    <n v="39.51"/>
    <s v="981 Main St"/>
    <x v="1"/>
    <x v="0"/>
    <s v="TRK21174822"/>
    <n v="5"/>
    <s v="No Coupon"/>
    <s v="Facebook"/>
    <x v="410"/>
    <s v="Normal"/>
  </r>
  <r>
    <x v="412"/>
    <x v="344"/>
    <s v="C42451"/>
    <x v="2"/>
    <n v="5"/>
    <n v="133.01"/>
    <s v="246 Main St"/>
    <x v="2"/>
    <x v="2"/>
    <s v="TRK31313343"/>
    <n v="10"/>
    <s v="No Coupon"/>
    <s v="Facebook"/>
    <x v="411"/>
    <s v="Normal"/>
  </r>
  <r>
    <x v="413"/>
    <x v="345"/>
    <s v="C13923"/>
    <x v="2"/>
    <n v="1"/>
    <n v="118.8"/>
    <s v="123 Main St"/>
    <x v="1"/>
    <x v="3"/>
    <s v="TRK87598790"/>
    <n v="6"/>
    <s v="SAVE10"/>
    <s v="Email"/>
    <x v="412"/>
    <s v="Normal"/>
  </r>
  <r>
    <x v="414"/>
    <x v="346"/>
    <s v="C11829"/>
    <x v="6"/>
    <n v="2"/>
    <n v="139.57"/>
    <s v="797 Main St"/>
    <x v="4"/>
    <x v="3"/>
    <s v="TRK84229257"/>
    <n v="4"/>
    <s v="WINTER15"/>
    <s v="Facebook"/>
    <x v="413"/>
    <s v="Normal"/>
  </r>
  <r>
    <x v="415"/>
    <x v="161"/>
    <s v="C62169"/>
    <x v="3"/>
    <n v="1"/>
    <n v="184.15"/>
    <s v="655 Main St"/>
    <x v="3"/>
    <x v="0"/>
    <s v="TRK64558985"/>
    <n v="5"/>
    <s v="FREESHIP"/>
    <s v="Facebook"/>
    <x v="414"/>
    <s v="Normal"/>
  </r>
  <r>
    <x v="416"/>
    <x v="202"/>
    <s v="C20881"/>
    <x v="5"/>
    <n v="2"/>
    <n v="644.04999999999995"/>
    <s v="652 Main St"/>
    <x v="3"/>
    <x v="1"/>
    <s v="TRK26263902"/>
    <n v="5"/>
    <s v="WINTER15"/>
    <s v="Referral"/>
    <x v="415"/>
    <s v="Normal"/>
  </r>
  <r>
    <x v="417"/>
    <x v="347"/>
    <s v="C44492"/>
    <x v="5"/>
    <n v="5"/>
    <n v="55.41"/>
    <s v="954 Main St"/>
    <x v="1"/>
    <x v="1"/>
    <s v="TRK51429869"/>
    <n v="5"/>
    <s v="No Coupon"/>
    <s v="Google"/>
    <x v="416"/>
    <s v="Normal"/>
  </r>
  <r>
    <x v="418"/>
    <x v="348"/>
    <s v="C74169"/>
    <x v="4"/>
    <n v="1"/>
    <n v="310.93"/>
    <s v="862 Main St"/>
    <x v="1"/>
    <x v="1"/>
    <s v="TRK66144809"/>
    <n v="3"/>
    <s v="No Coupon"/>
    <s v="Facebook"/>
    <x v="417"/>
    <s v="Normal"/>
  </r>
  <r>
    <x v="419"/>
    <x v="349"/>
    <s v="C70999"/>
    <x v="2"/>
    <n v="2"/>
    <n v="216.66"/>
    <s v="885 Main St"/>
    <x v="0"/>
    <x v="4"/>
    <s v="TRK75644156"/>
    <n v="6"/>
    <s v="FREESHIP"/>
    <s v="Instagram"/>
    <x v="418"/>
    <s v="Normal"/>
  </r>
  <r>
    <x v="420"/>
    <x v="350"/>
    <s v="C11921"/>
    <x v="1"/>
    <n v="1"/>
    <n v="452.7"/>
    <s v="439 Main St"/>
    <x v="0"/>
    <x v="0"/>
    <s v="TRK91362635"/>
    <n v="5"/>
    <s v="FREESHIP"/>
    <s v="Instagram"/>
    <x v="419"/>
    <s v="Normal"/>
  </r>
  <r>
    <x v="421"/>
    <x v="3"/>
    <s v="C50683"/>
    <x v="3"/>
    <n v="2"/>
    <n v="288.20999999999998"/>
    <s v="769 Main St"/>
    <x v="0"/>
    <x v="1"/>
    <s v="TRK53032122"/>
    <n v="5"/>
    <s v="No Coupon"/>
    <s v="Email"/>
    <x v="420"/>
    <s v="Normal"/>
  </r>
  <r>
    <x v="422"/>
    <x v="32"/>
    <s v="C76140"/>
    <x v="1"/>
    <n v="4"/>
    <n v="206.6"/>
    <s v="914 Main St"/>
    <x v="3"/>
    <x v="2"/>
    <s v="TRK25861469"/>
    <n v="6"/>
    <s v="WINTER15"/>
    <s v="Referral"/>
    <x v="421"/>
    <s v="Normal"/>
  </r>
  <r>
    <x v="423"/>
    <x v="351"/>
    <s v="C94311"/>
    <x v="4"/>
    <n v="4"/>
    <n v="685.2"/>
    <s v="195 Main St"/>
    <x v="3"/>
    <x v="1"/>
    <s v="TRK97308771"/>
    <n v="6"/>
    <s v="WINTER15"/>
    <s v="Google"/>
    <x v="422"/>
    <s v="Normal"/>
  </r>
  <r>
    <x v="424"/>
    <x v="352"/>
    <s v="C49491"/>
    <x v="3"/>
    <n v="5"/>
    <n v="22.94"/>
    <s v="339 Main St"/>
    <x v="4"/>
    <x v="4"/>
    <s v="TRK64012257"/>
    <n v="10"/>
    <s v="No Coupon"/>
    <s v="Email"/>
    <x v="423"/>
    <s v="Normal"/>
  </r>
  <r>
    <x v="425"/>
    <x v="338"/>
    <s v="C40648"/>
    <x v="5"/>
    <n v="2"/>
    <n v="301.88"/>
    <s v="488 Main St"/>
    <x v="3"/>
    <x v="2"/>
    <s v="TRK25325993"/>
    <n v="5"/>
    <s v="WINTER15"/>
    <s v="Email"/>
    <x v="424"/>
    <s v="Normal"/>
  </r>
  <r>
    <x v="426"/>
    <x v="353"/>
    <s v="C40967"/>
    <x v="0"/>
    <n v="5"/>
    <n v="57.45"/>
    <s v="315 Main St"/>
    <x v="4"/>
    <x v="1"/>
    <s v="TRK24839296"/>
    <n v="10"/>
    <s v="No Coupon"/>
    <s v="Facebook"/>
    <x v="425"/>
    <s v="Normal"/>
  </r>
  <r>
    <x v="427"/>
    <x v="144"/>
    <s v="C25406"/>
    <x v="6"/>
    <n v="1"/>
    <n v="161.24"/>
    <s v="379 Main St"/>
    <x v="2"/>
    <x v="4"/>
    <s v="TRK70952564"/>
    <n v="3"/>
    <s v="WINTER15"/>
    <s v="Instagram"/>
    <x v="426"/>
    <s v="Normal"/>
  </r>
  <r>
    <x v="428"/>
    <x v="130"/>
    <s v="C77085"/>
    <x v="3"/>
    <n v="4"/>
    <n v="262.58"/>
    <s v="895 Main St"/>
    <x v="1"/>
    <x v="1"/>
    <s v="TRK57227640"/>
    <n v="8"/>
    <s v="WINTER15"/>
    <s v="Email"/>
    <x v="427"/>
    <s v="Normal"/>
  </r>
  <r>
    <x v="429"/>
    <x v="36"/>
    <s v="C38126"/>
    <x v="4"/>
    <n v="4"/>
    <n v="515.19000000000005"/>
    <s v="522 Main St"/>
    <x v="2"/>
    <x v="4"/>
    <s v="TRK90838498"/>
    <n v="9"/>
    <s v="SAVE10"/>
    <s v="Facebook"/>
    <x v="428"/>
    <s v="Normal"/>
  </r>
  <r>
    <x v="430"/>
    <x v="323"/>
    <s v="C87448"/>
    <x v="1"/>
    <n v="1"/>
    <n v="450.07"/>
    <s v="433 Main St"/>
    <x v="3"/>
    <x v="0"/>
    <s v="TRK44134016"/>
    <n v="6"/>
    <s v="FREESHIP"/>
    <s v="Google"/>
    <x v="429"/>
    <s v="Normal"/>
  </r>
  <r>
    <x v="431"/>
    <x v="354"/>
    <s v="C62312"/>
    <x v="4"/>
    <n v="1"/>
    <n v="52.54"/>
    <s v="651 Main St"/>
    <x v="0"/>
    <x v="1"/>
    <s v="TRK59623037"/>
    <n v="6"/>
    <s v="WINTER15"/>
    <s v="Facebook"/>
    <x v="430"/>
    <s v="Normal"/>
  </r>
  <r>
    <x v="432"/>
    <x v="355"/>
    <s v="C58443"/>
    <x v="2"/>
    <n v="2"/>
    <n v="424.32"/>
    <s v="662 Main St"/>
    <x v="2"/>
    <x v="2"/>
    <s v="TRK77163738"/>
    <n v="6"/>
    <s v="No Coupon"/>
    <s v="Referral"/>
    <x v="431"/>
    <s v="Normal"/>
  </r>
  <r>
    <x v="433"/>
    <x v="46"/>
    <s v="C36613"/>
    <x v="0"/>
    <n v="3"/>
    <n v="631.64"/>
    <s v="785 Main St"/>
    <x v="2"/>
    <x v="2"/>
    <s v="TRK13282106"/>
    <n v="3"/>
    <s v="FREESHIP"/>
    <s v="Facebook"/>
    <x v="432"/>
    <s v="Normal"/>
  </r>
  <r>
    <x v="434"/>
    <x v="356"/>
    <s v="C73893"/>
    <x v="4"/>
    <n v="5"/>
    <n v="327.68"/>
    <s v="384 Main St"/>
    <x v="2"/>
    <x v="2"/>
    <s v="TRK85939879"/>
    <n v="6"/>
    <s v="No Coupon"/>
    <s v="Facebook"/>
    <x v="433"/>
    <s v="Normal"/>
  </r>
  <r>
    <x v="435"/>
    <x v="156"/>
    <s v="C48601"/>
    <x v="4"/>
    <n v="1"/>
    <n v="414.47"/>
    <s v="101 Main St"/>
    <x v="0"/>
    <x v="2"/>
    <s v="TRK97868309"/>
    <n v="3"/>
    <s v="FREESHIP"/>
    <s v="Instagram"/>
    <x v="434"/>
    <s v="Normal"/>
  </r>
  <r>
    <x v="436"/>
    <x v="91"/>
    <s v="C14568"/>
    <x v="5"/>
    <n v="4"/>
    <n v="221.33"/>
    <s v="651 Main St"/>
    <x v="1"/>
    <x v="4"/>
    <s v="TRK73545796"/>
    <n v="5"/>
    <s v="No Coupon"/>
    <s v="Google"/>
    <x v="435"/>
    <s v="Normal"/>
  </r>
  <r>
    <x v="437"/>
    <x v="171"/>
    <s v="C63378"/>
    <x v="1"/>
    <n v="1"/>
    <n v="512.39"/>
    <s v="955 Main St"/>
    <x v="1"/>
    <x v="3"/>
    <s v="TRK20863705"/>
    <n v="2"/>
    <s v="FREESHIP"/>
    <s v="Instagram"/>
    <x v="436"/>
    <s v="Normal"/>
  </r>
  <r>
    <x v="438"/>
    <x v="195"/>
    <s v="C77800"/>
    <x v="2"/>
    <n v="3"/>
    <n v="459.34"/>
    <s v="436 Main St"/>
    <x v="3"/>
    <x v="4"/>
    <s v="TRK27439574"/>
    <n v="3"/>
    <s v="SAVE10"/>
    <s v="Instagram"/>
    <x v="437"/>
    <s v="Normal"/>
  </r>
  <r>
    <x v="439"/>
    <x v="50"/>
    <s v="C91155"/>
    <x v="2"/>
    <n v="1"/>
    <n v="146.32"/>
    <s v="321 Main St"/>
    <x v="1"/>
    <x v="0"/>
    <s v="TRK36260319"/>
    <n v="4"/>
    <s v="WINTER15"/>
    <s v="Facebook"/>
    <x v="438"/>
    <s v="Normal"/>
  </r>
  <r>
    <x v="440"/>
    <x v="357"/>
    <s v="C60215"/>
    <x v="6"/>
    <n v="4"/>
    <n v="83.6"/>
    <s v="978 Main St"/>
    <x v="0"/>
    <x v="4"/>
    <s v="TRK31727767"/>
    <n v="4"/>
    <s v="SAVE10"/>
    <s v="Facebook"/>
    <x v="439"/>
    <s v="Normal"/>
  </r>
  <r>
    <x v="441"/>
    <x v="141"/>
    <s v="C52915"/>
    <x v="4"/>
    <n v="2"/>
    <n v="328.54"/>
    <s v="475 Main St"/>
    <x v="3"/>
    <x v="2"/>
    <s v="TRK79466982"/>
    <n v="6"/>
    <s v="FREESHIP"/>
    <s v="Email"/>
    <x v="440"/>
    <s v="Normal"/>
  </r>
  <r>
    <x v="442"/>
    <x v="40"/>
    <s v="C72588"/>
    <x v="3"/>
    <n v="5"/>
    <n v="314.94"/>
    <s v="661 Main St"/>
    <x v="4"/>
    <x v="4"/>
    <s v="TRK43410829"/>
    <n v="8"/>
    <s v="SAVE10"/>
    <s v="Instagram"/>
    <x v="441"/>
    <s v="Normal"/>
  </r>
  <r>
    <x v="443"/>
    <x v="358"/>
    <s v="C61668"/>
    <x v="3"/>
    <n v="2"/>
    <n v="69.64"/>
    <s v="813 Main St"/>
    <x v="4"/>
    <x v="2"/>
    <s v="TRK58970302"/>
    <n v="6"/>
    <s v="No Coupon"/>
    <s v="Facebook"/>
    <x v="442"/>
    <s v="Normal"/>
  </r>
  <r>
    <x v="444"/>
    <x v="180"/>
    <s v="C79508"/>
    <x v="4"/>
    <n v="1"/>
    <n v="135.16999999999999"/>
    <s v="585 Main St"/>
    <x v="1"/>
    <x v="0"/>
    <s v="TRK61882353"/>
    <n v="6"/>
    <s v="FREESHIP"/>
    <s v="Instagram"/>
    <x v="443"/>
    <s v="Normal"/>
  </r>
  <r>
    <x v="445"/>
    <x v="230"/>
    <s v="C94569"/>
    <x v="1"/>
    <n v="1"/>
    <n v="487.21"/>
    <s v="227 Main St"/>
    <x v="4"/>
    <x v="3"/>
    <s v="TRK31351770"/>
    <n v="3"/>
    <s v="SAVE10"/>
    <s v="Referral"/>
    <x v="444"/>
    <s v="Normal"/>
  </r>
  <r>
    <x v="446"/>
    <x v="359"/>
    <s v="C89592"/>
    <x v="5"/>
    <n v="5"/>
    <n v="509.58"/>
    <s v="262 Main St"/>
    <x v="1"/>
    <x v="3"/>
    <s v="TRK49442402"/>
    <n v="6"/>
    <s v="FREESHIP"/>
    <s v="Instagram"/>
    <x v="445"/>
    <s v="Normal"/>
  </r>
  <r>
    <x v="447"/>
    <x v="158"/>
    <s v="C48207"/>
    <x v="4"/>
    <n v="2"/>
    <n v="416.81"/>
    <s v="356 Main St"/>
    <x v="4"/>
    <x v="2"/>
    <s v="TRK45355655"/>
    <n v="2"/>
    <s v="No Coupon"/>
    <s v="Facebook"/>
    <x v="446"/>
    <s v="Normal"/>
  </r>
  <r>
    <x v="448"/>
    <x v="355"/>
    <s v="C16776"/>
    <x v="5"/>
    <n v="2"/>
    <n v="160"/>
    <s v="854 Main St"/>
    <x v="4"/>
    <x v="4"/>
    <s v="TRK12860600"/>
    <n v="4"/>
    <s v="SAVE10"/>
    <s v="Instagram"/>
    <x v="447"/>
    <s v="Normal"/>
  </r>
  <r>
    <x v="449"/>
    <x v="360"/>
    <s v="C91518"/>
    <x v="2"/>
    <n v="3"/>
    <n v="253.05"/>
    <s v="286 Main St"/>
    <x v="1"/>
    <x v="4"/>
    <s v="TRK48688724"/>
    <n v="3"/>
    <s v="No Coupon"/>
    <s v="Instagram"/>
    <x v="448"/>
    <s v="Normal"/>
  </r>
  <r>
    <x v="450"/>
    <x v="361"/>
    <s v="C36408"/>
    <x v="0"/>
    <n v="5"/>
    <n v="615.1"/>
    <s v="160 Main St"/>
    <x v="3"/>
    <x v="2"/>
    <s v="TRK94023253"/>
    <n v="10"/>
    <s v="WINTER15"/>
    <s v="Instagram"/>
    <x v="449"/>
    <s v="Normal"/>
  </r>
  <r>
    <x v="451"/>
    <x v="362"/>
    <s v="C14837"/>
    <x v="0"/>
    <n v="1"/>
    <n v="183.18"/>
    <s v="647 Main St"/>
    <x v="0"/>
    <x v="1"/>
    <s v="TRK17501136"/>
    <n v="6"/>
    <s v="SAVE10"/>
    <s v="Email"/>
    <x v="450"/>
    <s v="Normal"/>
  </r>
  <r>
    <x v="452"/>
    <x v="363"/>
    <s v="C36467"/>
    <x v="4"/>
    <n v="1"/>
    <n v="75.78"/>
    <s v="581 Main St"/>
    <x v="4"/>
    <x v="4"/>
    <s v="TRK20863987"/>
    <n v="5"/>
    <s v="SAVE10"/>
    <s v="Google"/>
    <x v="451"/>
    <s v="Normal"/>
  </r>
  <r>
    <x v="453"/>
    <x v="201"/>
    <s v="C15017"/>
    <x v="2"/>
    <n v="1"/>
    <n v="675.57"/>
    <s v="492 Main St"/>
    <x v="4"/>
    <x v="0"/>
    <s v="TRK51241924"/>
    <n v="1"/>
    <s v="WINTER15"/>
    <s v="Facebook"/>
    <x v="452"/>
    <s v="Normal"/>
  </r>
  <r>
    <x v="454"/>
    <x v="364"/>
    <s v="C54759"/>
    <x v="5"/>
    <n v="1"/>
    <n v="109.29"/>
    <s v="686 Main St"/>
    <x v="0"/>
    <x v="1"/>
    <s v="TRK75583042"/>
    <n v="5"/>
    <s v="FREESHIP"/>
    <s v="Google"/>
    <x v="453"/>
    <s v="Normal"/>
  </r>
  <r>
    <x v="455"/>
    <x v="290"/>
    <s v="C58341"/>
    <x v="1"/>
    <n v="1"/>
    <n v="639.83000000000004"/>
    <s v="874 Main St"/>
    <x v="0"/>
    <x v="4"/>
    <s v="TRK32856728"/>
    <n v="2"/>
    <s v="SAVE10"/>
    <s v="Referral"/>
    <x v="454"/>
    <s v="Normal"/>
  </r>
  <r>
    <x v="456"/>
    <x v="365"/>
    <s v="C94479"/>
    <x v="6"/>
    <n v="5"/>
    <n v="62.81"/>
    <s v="259 Main St"/>
    <x v="2"/>
    <x v="0"/>
    <s v="TRK69089975"/>
    <n v="9"/>
    <s v="SAVE10"/>
    <s v="Facebook"/>
    <x v="455"/>
    <s v="Normal"/>
  </r>
  <r>
    <x v="457"/>
    <x v="366"/>
    <s v="C50236"/>
    <x v="6"/>
    <n v="4"/>
    <n v="615.83000000000004"/>
    <s v="545 Main St"/>
    <x v="1"/>
    <x v="2"/>
    <s v="TRK67692578"/>
    <n v="4"/>
    <s v="WINTER15"/>
    <s v="Instagram"/>
    <x v="456"/>
    <s v="Normal"/>
  </r>
  <r>
    <x v="458"/>
    <x v="367"/>
    <s v="C31412"/>
    <x v="0"/>
    <n v="4"/>
    <n v="510.58"/>
    <s v="196 Main St"/>
    <x v="2"/>
    <x v="2"/>
    <s v="TRK61946127"/>
    <n v="7"/>
    <s v="WINTER15"/>
    <s v="Email"/>
    <x v="457"/>
    <s v="Normal"/>
  </r>
  <r>
    <x v="459"/>
    <x v="25"/>
    <s v="C90142"/>
    <x v="6"/>
    <n v="1"/>
    <n v="334.39"/>
    <s v="433 Main St"/>
    <x v="2"/>
    <x v="2"/>
    <s v="TRK39717191"/>
    <n v="2"/>
    <s v="No Coupon"/>
    <s v="Instagram"/>
    <x v="458"/>
    <s v="Normal"/>
  </r>
  <r>
    <x v="460"/>
    <x v="354"/>
    <s v="C83548"/>
    <x v="5"/>
    <n v="1"/>
    <n v="144.25"/>
    <s v="474 Main St"/>
    <x v="4"/>
    <x v="2"/>
    <s v="TRK93822942"/>
    <n v="2"/>
    <s v="WINTER15"/>
    <s v="Referral"/>
    <x v="459"/>
    <s v="Normal"/>
  </r>
  <r>
    <x v="461"/>
    <x v="180"/>
    <s v="C29697"/>
    <x v="2"/>
    <n v="1"/>
    <n v="401.82"/>
    <s v="407 Main St"/>
    <x v="2"/>
    <x v="0"/>
    <s v="TRK47776482"/>
    <n v="5"/>
    <s v="FREESHIP"/>
    <s v="Google"/>
    <x v="460"/>
    <s v="Normal"/>
  </r>
  <r>
    <x v="462"/>
    <x v="368"/>
    <s v="C22991"/>
    <x v="1"/>
    <n v="1"/>
    <n v="252.68"/>
    <s v="731 Main St"/>
    <x v="1"/>
    <x v="1"/>
    <s v="TRK32796086"/>
    <n v="1"/>
    <s v="No Coupon"/>
    <s v="Referral"/>
    <x v="461"/>
    <s v="Normal"/>
  </r>
  <r>
    <x v="463"/>
    <x v="68"/>
    <s v="C25276"/>
    <x v="5"/>
    <n v="5"/>
    <n v="662.78"/>
    <s v="214 Main St"/>
    <x v="0"/>
    <x v="0"/>
    <s v="TRK14011732"/>
    <n v="9"/>
    <s v="SAVE10"/>
    <s v="Instagram"/>
    <x v="462"/>
    <s v="Normal"/>
  </r>
  <r>
    <x v="464"/>
    <x v="369"/>
    <s v="C39176"/>
    <x v="2"/>
    <n v="4"/>
    <n v="434.42"/>
    <s v="739 Main St"/>
    <x v="1"/>
    <x v="1"/>
    <s v="TRK71418686"/>
    <n v="6"/>
    <s v="FREESHIP"/>
    <s v="Google"/>
    <x v="463"/>
    <s v="Normal"/>
  </r>
  <r>
    <x v="465"/>
    <x v="235"/>
    <s v="C58773"/>
    <x v="4"/>
    <n v="5"/>
    <n v="513.49"/>
    <s v="391 Main St"/>
    <x v="3"/>
    <x v="1"/>
    <s v="TRK65438300"/>
    <n v="8"/>
    <s v="No Coupon"/>
    <s v="Google"/>
    <x v="464"/>
    <s v="Normal"/>
  </r>
  <r>
    <x v="466"/>
    <x v="202"/>
    <s v="C37412"/>
    <x v="1"/>
    <n v="1"/>
    <n v="432.47"/>
    <s v="895 Main St"/>
    <x v="4"/>
    <x v="3"/>
    <s v="TRK97829604"/>
    <n v="4"/>
    <s v="FREESHIP"/>
    <s v="Referral"/>
    <x v="465"/>
    <s v="Normal"/>
  </r>
  <r>
    <x v="467"/>
    <x v="225"/>
    <s v="C36492"/>
    <x v="6"/>
    <n v="1"/>
    <n v="45.94"/>
    <s v="572 Main St"/>
    <x v="4"/>
    <x v="1"/>
    <s v="TRK44350440"/>
    <n v="2"/>
    <s v="WINTER15"/>
    <s v="Email"/>
    <x v="466"/>
    <s v="Normal"/>
  </r>
  <r>
    <x v="468"/>
    <x v="370"/>
    <s v="C90110"/>
    <x v="1"/>
    <n v="1"/>
    <n v="418.36"/>
    <s v="998 Main St"/>
    <x v="2"/>
    <x v="3"/>
    <s v="TRK60203957"/>
    <n v="5"/>
    <s v="FREESHIP"/>
    <s v="Email"/>
    <x v="467"/>
    <s v="Normal"/>
  </r>
  <r>
    <x v="469"/>
    <x v="371"/>
    <s v="C13877"/>
    <x v="3"/>
    <n v="5"/>
    <n v="676.98"/>
    <s v="893 Main St"/>
    <x v="4"/>
    <x v="1"/>
    <s v="TRK17254691"/>
    <n v="5"/>
    <s v="No Coupon"/>
    <s v="Facebook"/>
    <x v="468"/>
    <s v="Outlier"/>
  </r>
  <r>
    <x v="470"/>
    <x v="372"/>
    <s v="C25149"/>
    <x v="2"/>
    <n v="4"/>
    <n v="263.62"/>
    <s v="672 Main St"/>
    <x v="4"/>
    <x v="0"/>
    <s v="TRK33538608"/>
    <n v="5"/>
    <s v="SAVE10"/>
    <s v="Email"/>
    <x v="469"/>
    <s v="Normal"/>
  </r>
  <r>
    <x v="471"/>
    <x v="373"/>
    <s v="C52717"/>
    <x v="6"/>
    <n v="5"/>
    <n v="551.27"/>
    <s v="395 Main St"/>
    <x v="1"/>
    <x v="1"/>
    <s v="TRK27625571"/>
    <n v="7"/>
    <s v="FREESHIP"/>
    <s v="Referral"/>
    <x v="470"/>
    <s v="Normal"/>
  </r>
  <r>
    <x v="472"/>
    <x v="374"/>
    <s v="C60029"/>
    <x v="3"/>
    <n v="3"/>
    <n v="508.12"/>
    <s v="796 Main St"/>
    <x v="2"/>
    <x v="1"/>
    <s v="TRK86461316"/>
    <n v="8"/>
    <s v="FREESHIP"/>
    <s v="Referral"/>
    <x v="471"/>
    <s v="Normal"/>
  </r>
  <r>
    <x v="473"/>
    <x v="86"/>
    <s v="C28552"/>
    <x v="3"/>
    <n v="2"/>
    <n v="14.93"/>
    <s v="449 Main St"/>
    <x v="1"/>
    <x v="0"/>
    <s v="TRK71597160"/>
    <n v="4"/>
    <s v="No Coupon"/>
    <s v="Facebook"/>
    <x v="472"/>
    <s v="Normal"/>
  </r>
  <r>
    <x v="474"/>
    <x v="375"/>
    <s v="C72293"/>
    <x v="4"/>
    <n v="3"/>
    <n v="229.34"/>
    <s v="398 Main St"/>
    <x v="2"/>
    <x v="0"/>
    <s v="TRK84378003"/>
    <n v="6"/>
    <s v="SAVE10"/>
    <s v="Referral"/>
    <x v="473"/>
    <s v="Normal"/>
  </r>
  <r>
    <x v="475"/>
    <x v="373"/>
    <s v="C29844"/>
    <x v="2"/>
    <n v="2"/>
    <n v="438.62"/>
    <s v="363 Main St"/>
    <x v="4"/>
    <x v="1"/>
    <s v="TRK91642337"/>
    <n v="3"/>
    <s v="SAVE10"/>
    <s v="Facebook"/>
    <x v="474"/>
    <s v="Normal"/>
  </r>
  <r>
    <x v="476"/>
    <x v="361"/>
    <s v="C77872"/>
    <x v="1"/>
    <n v="2"/>
    <n v="513.59"/>
    <s v="867 Main St"/>
    <x v="1"/>
    <x v="2"/>
    <s v="TRK19292184"/>
    <n v="4"/>
    <s v="FREESHIP"/>
    <s v="Referral"/>
    <x v="475"/>
    <s v="Normal"/>
  </r>
  <r>
    <x v="477"/>
    <x v="376"/>
    <s v="C56564"/>
    <x v="1"/>
    <n v="2"/>
    <n v="253.74"/>
    <s v="481 Main St"/>
    <x v="1"/>
    <x v="0"/>
    <s v="TRK13166044"/>
    <n v="5"/>
    <s v="SAVE10"/>
    <s v="Google"/>
    <x v="476"/>
    <s v="Normal"/>
  </r>
  <r>
    <x v="478"/>
    <x v="377"/>
    <s v="C16758"/>
    <x v="2"/>
    <n v="3"/>
    <n v="62.77"/>
    <s v="914 Main St"/>
    <x v="3"/>
    <x v="0"/>
    <s v="TRK88544431"/>
    <n v="6"/>
    <s v="FREESHIP"/>
    <s v="Referral"/>
    <x v="477"/>
    <s v="Normal"/>
  </r>
  <r>
    <x v="479"/>
    <x v="378"/>
    <s v="C87011"/>
    <x v="0"/>
    <n v="4"/>
    <n v="25.29"/>
    <s v="943 Main St"/>
    <x v="2"/>
    <x v="4"/>
    <s v="TRK21429162"/>
    <n v="8"/>
    <s v="No Coupon"/>
    <s v="Google"/>
    <x v="478"/>
    <s v="Normal"/>
  </r>
  <r>
    <x v="480"/>
    <x v="379"/>
    <s v="C21147"/>
    <x v="3"/>
    <n v="1"/>
    <n v="335.1"/>
    <s v="126 Main St"/>
    <x v="0"/>
    <x v="4"/>
    <s v="TRK93171043"/>
    <n v="6"/>
    <s v="FREESHIP"/>
    <s v="Referral"/>
    <x v="479"/>
    <s v="Normal"/>
  </r>
  <r>
    <x v="481"/>
    <x v="295"/>
    <s v="C94568"/>
    <x v="5"/>
    <n v="4"/>
    <n v="484.85"/>
    <s v="317 Main St"/>
    <x v="0"/>
    <x v="3"/>
    <s v="TRK58653915"/>
    <n v="5"/>
    <s v="WINTER15"/>
    <s v="Referral"/>
    <x v="480"/>
    <s v="Normal"/>
  </r>
  <r>
    <x v="482"/>
    <x v="380"/>
    <s v="C35852"/>
    <x v="0"/>
    <n v="3"/>
    <n v="381.41"/>
    <s v="989 Main St"/>
    <x v="1"/>
    <x v="4"/>
    <s v="TRK22302049"/>
    <n v="6"/>
    <s v="No Coupon"/>
    <s v="Instagram"/>
    <x v="481"/>
    <s v="Normal"/>
  </r>
  <r>
    <x v="483"/>
    <x v="381"/>
    <s v="C66462"/>
    <x v="1"/>
    <n v="5"/>
    <n v="347.92"/>
    <s v="982 Main St"/>
    <x v="4"/>
    <x v="4"/>
    <s v="TRK52743700"/>
    <n v="6"/>
    <s v="WINTER15"/>
    <s v="Google"/>
    <x v="482"/>
    <s v="Normal"/>
  </r>
  <r>
    <x v="484"/>
    <x v="382"/>
    <s v="C29092"/>
    <x v="3"/>
    <n v="4"/>
    <n v="15.01"/>
    <s v="767 Main St"/>
    <x v="4"/>
    <x v="1"/>
    <s v="TRK90455340"/>
    <n v="6"/>
    <s v="No Coupon"/>
    <s v="Facebook"/>
    <x v="483"/>
    <s v="Normal"/>
  </r>
  <r>
    <x v="485"/>
    <x v="383"/>
    <s v="C46651"/>
    <x v="3"/>
    <n v="3"/>
    <n v="404.79"/>
    <s v="764 Main St"/>
    <x v="4"/>
    <x v="0"/>
    <s v="TRK67679195"/>
    <n v="6"/>
    <s v="SAVE10"/>
    <s v="Instagram"/>
    <x v="484"/>
    <s v="Normal"/>
  </r>
  <r>
    <x v="486"/>
    <x v="384"/>
    <s v="C88981"/>
    <x v="4"/>
    <n v="4"/>
    <n v="611.26"/>
    <s v="558 Main St"/>
    <x v="4"/>
    <x v="0"/>
    <s v="TRK75267873"/>
    <n v="5"/>
    <s v="SAVE10"/>
    <s v="Referral"/>
    <x v="485"/>
    <s v="Normal"/>
  </r>
  <r>
    <x v="487"/>
    <x v="338"/>
    <s v="C40136"/>
    <x v="4"/>
    <n v="3"/>
    <n v="346.52"/>
    <s v="211 Main St"/>
    <x v="2"/>
    <x v="4"/>
    <s v="TRK92924852"/>
    <n v="3"/>
    <s v="SAVE10"/>
    <s v="Google"/>
    <x v="486"/>
    <s v="Normal"/>
  </r>
  <r>
    <x v="488"/>
    <x v="194"/>
    <s v="C81573"/>
    <x v="3"/>
    <n v="1"/>
    <n v="36.65"/>
    <s v="556 Main St"/>
    <x v="1"/>
    <x v="1"/>
    <s v="TRK96522994"/>
    <n v="1"/>
    <s v="WINTER15"/>
    <s v="Email"/>
    <x v="487"/>
    <s v="Normal"/>
  </r>
  <r>
    <x v="489"/>
    <x v="189"/>
    <s v="C11940"/>
    <x v="2"/>
    <n v="3"/>
    <n v="149.34"/>
    <s v="589 Main St"/>
    <x v="3"/>
    <x v="1"/>
    <s v="TRK85466461"/>
    <n v="7"/>
    <s v="WINTER15"/>
    <s v="Email"/>
    <x v="488"/>
    <s v="Normal"/>
  </r>
  <r>
    <x v="490"/>
    <x v="319"/>
    <s v="C50097"/>
    <x v="3"/>
    <n v="5"/>
    <n v="467.81"/>
    <s v="539 Main St"/>
    <x v="1"/>
    <x v="1"/>
    <s v="TRK62785150"/>
    <n v="10"/>
    <s v="No Coupon"/>
    <s v="Facebook"/>
    <x v="489"/>
    <s v="Normal"/>
  </r>
  <r>
    <x v="491"/>
    <x v="314"/>
    <s v="C98168"/>
    <x v="1"/>
    <n v="5"/>
    <n v="420.7"/>
    <s v="481 Main St"/>
    <x v="4"/>
    <x v="4"/>
    <s v="TRK56423359"/>
    <n v="5"/>
    <s v="WINTER15"/>
    <s v="Facebook"/>
    <x v="490"/>
    <s v="Normal"/>
  </r>
  <r>
    <x v="492"/>
    <x v="385"/>
    <s v="C39074"/>
    <x v="5"/>
    <n v="5"/>
    <n v="606.52"/>
    <s v="103 Main St"/>
    <x v="0"/>
    <x v="0"/>
    <s v="TRK13027036"/>
    <n v="6"/>
    <s v="SAVE10"/>
    <s v="Instagram"/>
    <x v="491"/>
    <s v="Normal"/>
  </r>
  <r>
    <x v="493"/>
    <x v="386"/>
    <s v="C84908"/>
    <x v="1"/>
    <n v="1"/>
    <n v="420.26"/>
    <s v="372 Main St"/>
    <x v="2"/>
    <x v="4"/>
    <s v="TRK64135970"/>
    <n v="4"/>
    <s v="FREESHIP"/>
    <s v="Facebook"/>
    <x v="492"/>
    <s v="Normal"/>
  </r>
  <r>
    <x v="494"/>
    <x v="45"/>
    <s v="C64516"/>
    <x v="5"/>
    <n v="3"/>
    <n v="505.79"/>
    <s v="459 Main St"/>
    <x v="0"/>
    <x v="4"/>
    <s v="TRK63920573"/>
    <n v="3"/>
    <s v="FREESHIP"/>
    <s v="Referral"/>
    <x v="493"/>
    <s v="Normal"/>
  </r>
  <r>
    <x v="495"/>
    <x v="85"/>
    <s v="C63827"/>
    <x v="1"/>
    <n v="4"/>
    <n v="493.73"/>
    <s v="947 Main St"/>
    <x v="0"/>
    <x v="4"/>
    <s v="TRK35730581"/>
    <n v="6"/>
    <s v="SAVE10"/>
    <s v="Facebook"/>
    <x v="494"/>
    <s v="Normal"/>
  </r>
  <r>
    <x v="496"/>
    <x v="387"/>
    <s v="C93618"/>
    <x v="4"/>
    <n v="3"/>
    <n v="201.21"/>
    <s v="249 Main St"/>
    <x v="1"/>
    <x v="1"/>
    <s v="TRK66129326"/>
    <n v="3"/>
    <s v="SAVE10"/>
    <s v="Google"/>
    <x v="495"/>
    <s v="Normal"/>
  </r>
  <r>
    <x v="497"/>
    <x v="101"/>
    <s v="C93948"/>
    <x v="4"/>
    <n v="3"/>
    <n v="112.29"/>
    <s v="454 Main St"/>
    <x v="3"/>
    <x v="0"/>
    <s v="TRK77358113"/>
    <n v="6"/>
    <s v="No Coupon"/>
    <s v="Google"/>
    <x v="496"/>
    <s v="Normal"/>
  </r>
  <r>
    <x v="498"/>
    <x v="219"/>
    <s v="C73961"/>
    <x v="2"/>
    <n v="4"/>
    <n v="132.56"/>
    <s v="306 Main St"/>
    <x v="4"/>
    <x v="2"/>
    <s v="TRK32607173"/>
    <n v="8"/>
    <s v="WINTER15"/>
    <s v="Instagram"/>
    <x v="497"/>
    <s v="Normal"/>
  </r>
  <r>
    <x v="499"/>
    <x v="388"/>
    <s v="C18138"/>
    <x v="4"/>
    <n v="3"/>
    <n v="539.46"/>
    <s v="520 Main St"/>
    <x v="2"/>
    <x v="0"/>
    <s v="TRK20289483"/>
    <n v="4"/>
    <s v="SAVE10"/>
    <s v="Facebook"/>
    <x v="498"/>
    <s v="Normal"/>
  </r>
  <r>
    <x v="500"/>
    <x v="158"/>
    <s v="C79475"/>
    <x v="5"/>
    <n v="5"/>
    <n v="508.59"/>
    <s v="169 Main St"/>
    <x v="4"/>
    <x v="2"/>
    <s v="TRK42168516"/>
    <n v="8"/>
    <s v="WINTER15"/>
    <s v="Facebook"/>
    <x v="499"/>
    <s v="Normal"/>
  </r>
  <r>
    <x v="501"/>
    <x v="389"/>
    <s v="C88546"/>
    <x v="6"/>
    <n v="4"/>
    <n v="203.46"/>
    <s v="226 Main St"/>
    <x v="2"/>
    <x v="4"/>
    <s v="TRK19867754"/>
    <n v="7"/>
    <s v="SAVE10"/>
    <s v="Referral"/>
    <x v="500"/>
    <s v="Normal"/>
  </r>
  <r>
    <x v="502"/>
    <x v="390"/>
    <s v="C69332"/>
    <x v="0"/>
    <n v="3"/>
    <n v="565.25"/>
    <s v="745 Main St"/>
    <x v="0"/>
    <x v="2"/>
    <s v="TRK65718848"/>
    <n v="7"/>
    <s v="SAVE10"/>
    <s v="Email"/>
    <x v="501"/>
    <s v="Normal"/>
  </r>
  <r>
    <x v="503"/>
    <x v="303"/>
    <s v="C64554"/>
    <x v="2"/>
    <n v="3"/>
    <n v="136.84"/>
    <s v="498 Main St"/>
    <x v="1"/>
    <x v="4"/>
    <s v="TRK95384568"/>
    <n v="4"/>
    <s v="FREESHIP"/>
    <s v="Facebook"/>
    <x v="502"/>
    <s v="Normal"/>
  </r>
  <r>
    <x v="504"/>
    <x v="113"/>
    <s v="C11676"/>
    <x v="0"/>
    <n v="2"/>
    <n v="464.5"/>
    <s v="805 Main St"/>
    <x v="1"/>
    <x v="1"/>
    <s v="TRK35726395"/>
    <n v="2"/>
    <s v="WINTER15"/>
    <s v="Instagram"/>
    <x v="503"/>
    <s v="Normal"/>
  </r>
  <r>
    <x v="505"/>
    <x v="236"/>
    <s v="C36014"/>
    <x v="4"/>
    <n v="2"/>
    <n v="434.97"/>
    <s v="558 Main St"/>
    <x v="1"/>
    <x v="0"/>
    <s v="TRK97246526"/>
    <n v="7"/>
    <s v="No Coupon"/>
    <s v="Email"/>
    <x v="504"/>
    <s v="Normal"/>
  </r>
  <r>
    <x v="506"/>
    <x v="284"/>
    <s v="C23279"/>
    <x v="0"/>
    <n v="2"/>
    <n v="43.67"/>
    <s v="696 Main St"/>
    <x v="4"/>
    <x v="2"/>
    <s v="TRK58039693"/>
    <n v="4"/>
    <s v="WINTER15"/>
    <s v="Instagram"/>
    <x v="505"/>
    <s v="Normal"/>
  </r>
  <r>
    <x v="507"/>
    <x v="176"/>
    <s v="C86481"/>
    <x v="1"/>
    <n v="1"/>
    <n v="171.59"/>
    <s v="546 Main St"/>
    <x v="2"/>
    <x v="4"/>
    <s v="TRK87513944"/>
    <n v="5"/>
    <s v="WINTER15"/>
    <s v="Email"/>
    <x v="506"/>
    <s v="Normal"/>
  </r>
  <r>
    <x v="508"/>
    <x v="391"/>
    <s v="C39550"/>
    <x v="1"/>
    <n v="1"/>
    <n v="558.27"/>
    <s v="976 Main St"/>
    <x v="1"/>
    <x v="3"/>
    <s v="TRK24120267"/>
    <n v="1"/>
    <s v="No Coupon"/>
    <s v="Referral"/>
    <x v="507"/>
    <s v="Normal"/>
  </r>
  <r>
    <x v="509"/>
    <x v="392"/>
    <s v="C68937"/>
    <x v="5"/>
    <n v="2"/>
    <n v="425.03"/>
    <s v="560 Main St"/>
    <x v="4"/>
    <x v="2"/>
    <s v="TRK31908657"/>
    <n v="2"/>
    <s v="WINTER15"/>
    <s v="Google"/>
    <x v="508"/>
    <s v="Normal"/>
  </r>
  <r>
    <x v="510"/>
    <x v="393"/>
    <s v="C72533"/>
    <x v="4"/>
    <n v="1"/>
    <n v="376.76"/>
    <s v="389 Main St"/>
    <x v="0"/>
    <x v="3"/>
    <s v="TRK51288986"/>
    <n v="5"/>
    <s v="SAVE10"/>
    <s v="Email"/>
    <x v="509"/>
    <s v="Normal"/>
  </r>
  <r>
    <x v="511"/>
    <x v="394"/>
    <s v="C11415"/>
    <x v="0"/>
    <n v="5"/>
    <n v="575.24"/>
    <s v="267 Main St"/>
    <x v="4"/>
    <x v="3"/>
    <s v="TRK65061457"/>
    <n v="7"/>
    <s v="WINTER15"/>
    <s v="Email"/>
    <x v="510"/>
    <s v="Normal"/>
  </r>
  <r>
    <x v="512"/>
    <x v="395"/>
    <s v="C14114"/>
    <x v="6"/>
    <n v="3"/>
    <n v="568.02"/>
    <s v="856 Main St"/>
    <x v="1"/>
    <x v="4"/>
    <s v="TRK63290700"/>
    <n v="3"/>
    <s v="FREESHIP"/>
    <s v="Instagram"/>
    <x v="511"/>
    <s v="Normal"/>
  </r>
  <r>
    <x v="513"/>
    <x v="396"/>
    <s v="C64128"/>
    <x v="2"/>
    <n v="3"/>
    <n v="94.88"/>
    <s v="533 Main St"/>
    <x v="3"/>
    <x v="0"/>
    <s v="TRK37053575"/>
    <n v="8"/>
    <s v="No Coupon"/>
    <s v="Referral"/>
    <x v="512"/>
    <s v="Normal"/>
  </r>
  <r>
    <x v="514"/>
    <x v="397"/>
    <s v="C15629"/>
    <x v="4"/>
    <n v="3"/>
    <n v="304.14999999999998"/>
    <s v="492 Main St"/>
    <x v="3"/>
    <x v="0"/>
    <s v="TRK64926044"/>
    <n v="3"/>
    <s v="WINTER15"/>
    <s v="Instagram"/>
    <x v="513"/>
    <s v="Normal"/>
  </r>
  <r>
    <x v="515"/>
    <x v="369"/>
    <s v="C67561"/>
    <x v="1"/>
    <n v="3"/>
    <n v="553.52"/>
    <s v="160 Main St"/>
    <x v="3"/>
    <x v="0"/>
    <s v="TRK75900717"/>
    <n v="4"/>
    <s v="FREESHIP"/>
    <s v="Facebook"/>
    <x v="514"/>
    <s v="Normal"/>
  </r>
  <r>
    <x v="516"/>
    <x v="158"/>
    <s v="C47022"/>
    <x v="0"/>
    <n v="3"/>
    <n v="166.99"/>
    <s v="208 Main St"/>
    <x v="4"/>
    <x v="2"/>
    <s v="TRK28855040"/>
    <n v="8"/>
    <s v="No Coupon"/>
    <s v="Facebook"/>
    <x v="515"/>
    <s v="Normal"/>
  </r>
  <r>
    <x v="517"/>
    <x v="398"/>
    <s v="C55205"/>
    <x v="2"/>
    <n v="4"/>
    <n v="198.35"/>
    <s v="943 Main St"/>
    <x v="4"/>
    <x v="1"/>
    <s v="TRK88141634"/>
    <n v="7"/>
    <s v="FREESHIP"/>
    <s v="Google"/>
    <x v="516"/>
    <s v="Normal"/>
  </r>
  <r>
    <x v="518"/>
    <x v="399"/>
    <s v="C30686"/>
    <x v="4"/>
    <n v="4"/>
    <n v="403.58"/>
    <s v="319 Main St"/>
    <x v="1"/>
    <x v="4"/>
    <s v="TRK59807273"/>
    <n v="9"/>
    <s v="SAVE10"/>
    <s v="Referral"/>
    <x v="517"/>
    <s v="Normal"/>
  </r>
  <r>
    <x v="519"/>
    <x v="400"/>
    <s v="C71797"/>
    <x v="5"/>
    <n v="4"/>
    <n v="464.29"/>
    <s v="941 Main St"/>
    <x v="0"/>
    <x v="2"/>
    <s v="TRK66010667"/>
    <n v="5"/>
    <s v="SAVE10"/>
    <s v="Email"/>
    <x v="518"/>
    <s v="Normal"/>
  </r>
  <r>
    <x v="520"/>
    <x v="401"/>
    <s v="C66332"/>
    <x v="0"/>
    <n v="3"/>
    <n v="635.98"/>
    <s v="959 Main St"/>
    <x v="4"/>
    <x v="2"/>
    <s v="TRK27063398"/>
    <n v="5"/>
    <s v="No Coupon"/>
    <s v="Referral"/>
    <x v="519"/>
    <s v="Normal"/>
  </r>
  <r>
    <x v="521"/>
    <x v="402"/>
    <s v="C82318"/>
    <x v="1"/>
    <n v="1"/>
    <n v="528.05999999999995"/>
    <s v="991 Main St"/>
    <x v="2"/>
    <x v="0"/>
    <s v="TRK37534165"/>
    <n v="2"/>
    <s v="No Coupon"/>
    <s v="Facebook"/>
    <x v="520"/>
    <s v="Normal"/>
  </r>
  <r>
    <x v="522"/>
    <x v="322"/>
    <s v="C66254"/>
    <x v="3"/>
    <n v="1"/>
    <n v="515.32000000000005"/>
    <s v="740 Main St"/>
    <x v="3"/>
    <x v="1"/>
    <s v="TRK82843861"/>
    <n v="1"/>
    <s v="FREESHIP"/>
    <s v="Email"/>
    <x v="521"/>
    <s v="Normal"/>
  </r>
  <r>
    <x v="523"/>
    <x v="403"/>
    <s v="C65083"/>
    <x v="6"/>
    <n v="4"/>
    <n v="657.79"/>
    <s v="652 Main St"/>
    <x v="2"/>
    <x v="2"/>
    <s v="TRK60937148"/>
    <n v="6"/>
    <s v="WINTER15"/>
    <s v="Google"/>
    <x v="522"/>
    <s v="Normal"/>
  </r>
  <r>
    <x v="524"/>
    <x v="385"/>
    <s v="C44778"/>
    <x v="1"/>
    <n v="1"/>
    <n v="153"/>
    <s v="103 Main St"/>
    <x v="2"/>
    <x v="2"/>
    <s v="TRK92617366"/>
    <n v="4"/>
    <s v="No Coupon"/>
    <s v="Referral"/>
    <x v="523"/>
    <s v="Normal"/>
  </r>
  <r>
    <x v="525"/>
    <x v="404"/>
    <s v="C54499"/>
    <x v="0"/>
    <n v="1"/>
    <n v="668.48"/>
    <s v="160 Main St"/>
    <x v="0"/>
    <x v="0"/>
    <s v="TRK18061555"/>
    <n v="1"/>
    <s v="SAVE10"/>
    <s v="Email"/>
    <x v="524"/>
    <s v="Normal"/>
  </r>
  <r>
    <x v="526"/>
    <x v="405"/>
    <s v="C91201"/>
    <x v="6"/>
    <n v="2"/>
    <n v="46.5"/>
    <s v="837 Main St"/>
    <x v="4"/>
    <x v="2"/>
    <s v="TRK63526023"/>
    <n v="7"/>
    <s v="WINTER15"/>
    <s v="Google"/>
    <x v="525"/>
    <s v="Normal"/>
  </r>
  <r>
    <x v="527"/>
    <x v="406"/>
    <s v="C27202"/>
    <x v="3"/>
    <n v="5"/>
    <n v="653.47"/>
    <s v="967 Main St"/>
    <x v="2"/>
    <x v="1"/>
    <s v="TRK75406128"/>
    <n v="10"/>
    <s v="SAVE10"/>
    <s v="Referral"/>
    <x v="526"/>
    <s v="Normal"/>
  </r>
  <r>
    <x v="528"/>
    <x v="407"/>
    <s v="C32011"/>
    <x v="3"/>
    <n v="1"/>
    <n v="628.89"/>
    <s v="686 Main St"/>
    <x v="2"/>
    <x v="2"/>
    <s v="TRK70997744"/>
    <n v="2"/>
    <s v="SAVE10"/>
    <s v="Referral"/>
    <x v="527"/>
    <s v="Normal"/>
  </r>
  <r>
    <x v="529"/>
    <x v="158"/>
    <s v="C21181"/>
    <x v="2"/>
    <n v="2"/>
    <n v="675.1"/>
    <s v="938 Main St"/>
    <x v="4"/>
    <x v="4"/>
    <s v="TRK50363421"/>
    <n v="4"/>
    <s v="FREESHIP"/>
    <s v="Google"/>
    <x v="528"/>
    <s v="Normal"/>
  </r>
  <r>
    <x v="530"/>
    <x v="408"/>
    <s v="C98450"/>
    <x v="3"/>
    <n v="4"/>
    <n v="89.41"/>
    <s v="613 Main St"/>
    <x v="1"/>
    <x v="4"/>
    <s v="TRK14809530"/>
    <n v="9"/>
    <s v="No Coupon"/>
    <s v="Google"/>
    <x v="529"/>
    <s v="Normal"/>
  </r>
  <r>
    <x v="531"/>
    <x v="367"/>
    <s v="C64502"/>
    <x v="6"/>
    <n v="5"/>
    <n v="320.01"/>
    <s v="722 Main St"/>
    <x v="3"/>
    <x v="3"/>
    <s v="TRK14914388"/>
    <n v="6"/>
    <s v="No Coupon"/>
    <s v="Referral"/>
    <x v="530"/>
    <s v="Normal"/>
  </r>
  <r>
    <x v="532"/>
    <x v="120"/>
    <s v="C47365"/>
    <x v="5"/>
    <n v="2"/>
    <n v="41"/>
    <s v="369 Main St"/>
    <x v="1"/>
    <x v="3"/>
    <s v="TRK42207882"/>
    <n v="7"/>
    <s v="No Coupon"/>
    <s v="Email"/>
    <x v="531"/>
    <s v="Normal"/>
  </r>
  <r>
    <x v="533"/>
    <x v="409"/>
    <s v="C66349"/>
    <x v="6"/>
    <n v="1"/>
    <n v="565.85"/>
    <s v="715 Main St"/>
    <x v="3"/>
    <x v="2"/>
    <s v="TRK63550793"/>
    <n v="1"/>
    <s v="FREESHIP"/>
    <s v="Facebook"/>
    <x v="532"/>
    <s v="Normal"/>
  </r>
  <r>
    <x v="534"/>
    <x v="309"/>
    <s v="C73289"/>
    <x v="3"/>
    <n v="3"/>
    <n v="648.59"/>
    <s v="906 Main St"/>
    <x v="0"/>
    <x v="1"/>
    <s v="TRK70872738"/>
    <n v="4"/>
    <s v="SAVE10"/>
    <s v="Email"/>
    <x v="533"/>
    <s v="Normal"/>
  </r>
  <r>
    <x v="535"/>
    <x v="25"/>
    <s v="C48649"/>
    <x v="0"/>
    <n v="3"/>
    <n v="68.12"/>
    <s v="332 Main St"/>
    <x v="1"/>
    <x v="1"/>
    <s v="TRK45821445"/>
    <n v="3"/>
    <s v="FREESHIP"/>
    <s v="Email"/>
    <x v="534"/>
    <s v="Normal"/>
  </r>
  <r>
    <x v="536"/>
    <x v="410"/>
    <s v="C18724"/>
    <x v="3"/>
    <n v="1"/>
    <n v="616.1"/>
    <s v="124 Main St"/>
    <x v="4"/>
    <x v="2"/>
    <s v="TRK52508861"/>
    <n v="6"/>
    <s v="No Coupon"/>
    <s v="Email"/>
    <x v="535"/>
    <s v="Normal"/>
  </r>
  <r>
    <x v="537"/>
    <x v="411"/>
    <s v="C68553"/>
    <x v="2"/>
    <n v="3"/>
    <n v="247.47"/>
    <s v="385 Main St"/>
    <x v="1"/>
    <x v="3"/>
    <s v="TRK58218971"/>
    <n v="4"/>
    <s v="SAVE10"/>
    <s v="Facebook"/>
    <x v="536"/>
    <s v="Normal"/>
  </r>
  <r>
    <x v="538"/>
    <x v="75"/>
    <s v="C61280"/>
    <x v="1"/>
    <n v="3"/>
    <n v="490.74"/>
    <s v="100 Main St"/>
    <x v="4"/>
    <x v="0"/>
    <s v="TRK95487711"/>
    <n v="3"/>
    <s v="WINTER15"/>
    <s v="Email"/>
    <x v="537"/>
    <s v="Normal"/>
  </r>
  <r>
    <x v="539"/>
    <x v="403"/>
    <s v="C53277"/>
    <x v="6"/>
    <n v="3"/>
    <n v="531.72"/>
    <s v="473 Main St"/>
    <x v="3"/>
    <x v="3"/>
    <s v="TRK17653832"/>
    <n v="7"/>
    <s v="SAVE10"/>
    <s v="Google"/>
    <x v="538"/>
    <s v="Normal"/>
  </r>
  <r>
    <x v="540"/>
    <x v="412"/>
    <s v="C87281"/>
    <x v="5"/>
    <n v="5"/>
    <n v="648.65"/>
    <s v="852 Main St"/>
    <x v="1"/>
    <x v="4"/>
    <s v="TRK81765057"/>
    <n v="7"/>
    <s v="No Coupon"/>
    <s v="Referral"/>
    <x v="539"/>
    <s v="Normal"/>
  </r>
  <r>
    <x v="541"/>
    <x v="413"/>
    <s v="C69009"/>
    <x v="4"/>
    <n v="5"/>
    <n v="456.06"/>
    <s v="879 Main St"/>
    <x v="4"/>
    <x v="4"/>
    <s v="TRK61295842"/>
    <n v="10"/>
    <s v="No Coupon"/>
    <s v="Instagram"/>
    <x v="540"/>
    <s v="Normal"/>
  </r>
  <r>
    <x v="542"/>
    <x v="414"/>
    <s v="C49726"/>
    <x v="2"/>
    <n v="1"/>
    <n v="17.98"/>
    <s v="934 Main St"/>
    <x v="4"/>
    <x v="1"/>
    <s v="TRK20739460"/>
    <n v="6"/>
    <s v="FREESHIP"/>
    <s v="Email"/>
    <x v="541"/>
    <s v="Normal"/>
  </r>
  <r>
    <x v="543"/>
    <x v="415"/>
    <s v="C37531"/>
    <x v="6"/>
    <n v="5"/>
    <n v="269.86"/>
    <s v="354 Main St"/>
    <x v="4"/>
    <x v="0"/>
    <s v="TRK93877673"/>
    <n v="6"/>
    <s v="WINTER15"/>
    <s v="Facebook"/>
    <x v="542"/>
    <s v="Normal"/>
  </r>
  <r>
    <x v="544"/>
    <x v="416"/>
    <s v="C48713"/>
    <x v="4"/>
    <n v="5"/>
    <n v="31.96"/>
    <s v="373 Main St"/>
    <x v="2"/>
    <x v="2"/>
    <s v="TRK96334419"/>
    <n v="5"/>
    <s v="FREESHIP"/>
    <s v="Referral"/>
    <x v="543"/>
    <s v="Normal"/>
  </r>
  <r>
    <x v="545"/>
    <x v="263"/>
    <s v="C74138"/>
    <x v="0"/>
    <n v="2"/>
    <n v="98.47"/>
    <s v="964 Main St"/>
    <x v="4"/>
    <x v="2"/>
    <s v="TRK74091695"/>
    <n v="3"/>
    <s v="No Coupon"/>
    <s v="Instagram"/>
    <x v="544"/>
    <s v="Normal"/>
  </r>
  <r>
    <x v="546"/>
    <x v="417"/>
    <s v="C82399"/>
    <x v="0"/>
    <n v="1"/>
    <n v="158.68"/>
    <s v="928 Main St"/>
    <x v="2"/>
    <x v="2"/>
    <s v="TRK77177284"/>
    <n v="6"/>
    <s v="WINTER15"/>
    <s v="Instagram"/>
    <x v="545"/>
    <s v="Normal"/>
  </r>
  <r>
    <x v="547"/>
    <x v="38"/>
    <s v="C40427"/>
    <x v="1"/>
    <n v="1"/>
    <n v="613.98"/>
    <s v="411 Main St"/>
    <x v="1"/>
    <x v="3"/>
    <s v="TRK25392280"/>
    <n v="4"/>
    <s v="FREESHIP"/>
    <s v="Facebook"/>
    <x v="546"/>
    <s v="Normal"/>
  </r>
  <r>
    <x v="548"/>
    <x v="80"/>
    <s v="C17103"/>
    <x v="4"/>
    <n v="3"/>
    <n v="426.12"/>
    <s v="922 Main St"/>
    <x v="1"/>
    <x v="3"/>
    <s v="TRK64398650"/>
    <n v="5"/>
    <s v="WINTER15"/>
    <s v="Instagram"/>
    <x v="547"/>
    <s v="Normal"/>
  </r>
  <r>
    <x v="549"/>
    <x v="86"/>
    <s v="C34266"/>
    <x v="0"/>
    <n v="4"/>
    <n v="629.88"/>
    <s v="550 Main St"/>
    <x v="0"/>
    <x v="1"/>
    <s v="TRK56378197"/>
    <n v="8"/>
    <s v="WINTER15"/>
    <s v="Instagram"/>
    <x v="548"/>
    <s v="Normal"/>
  </r>
  <r>
    <x v="550"/>
    <x v="418"/>
    <s v="C97485"/>
    <x v="5"/>
    <n v="4"/>
    <n v="228.91"/>
    <s v="573 Main St"/>
    <x v="4"/>
    <x v="0"/>
    <s v="TRK81794737"/>
    <n v="4"/>
    <s v="FREESHIP"/>
    <s v="Google"/>
    <x v="549"/>
    <s v="Normal"/>
  </r>
  <r>
    <x v="551"/>
    <x v="419"/>
    <s v="C23947"/>
    <x v="5"/>
    <n v="1"/>
    <n v="120.98"/>
    <s v="353 Main St"/>
    <x v="0"/>
    <x v="3"/>
    <s v="TRK74812710"/>
    <n v="6"/>
    <s v="WINTER15"/>
    <s v="Email"/>
    <x v="550"/>
    <s v="Normal"/>
  </r>
  <r>
    <x v="552"/>
    <x v="420"/>
    <s v="C21665"/>
    <x v="3"/>
    <n v="4"/>
    <n v="425.18"/>
    <s v="560 Main St"/>
    <x v="1"/>
    <x v="2"/>
    <s v="TRK29890761"/>
    <n v="8"/>
    <s v="WINTER15"/>
    <s v="Facebook"/>
    <x v="551"/>
    <s v="Normal"/>
  </r>
  <r>
    <x v="553"/>
    <x v="421"/>
    <s v="C82550"/>
    <x v="1"/>
    <n v="2"/>
    <n v="333.83"/>
    <s v="828 Main St"/>
    <x v="3"/>
    <x v="1"/>
    <s v="TRK74103758"/>
    <n v="4"/>
    <s v="FREESHIP"/>
    <s v="Referral"/>
    <x v="552"/>
    <s v="Normal"/>
  </r>
  <r>
    <x v="554"/>
    <x v="422"/>
    <s v="C61943"/>
    <x v="5"/>
    <n v="2"/>
    <n v="492.9"/>
    <s v="610 Main St"/>
    <x v="4"/>
    <x v="2"/>
    <s v="TRK66126496"/>
    <n v="5"/>
    <s v="FREESHIP"/>
    <s v="Instagram"/>
    <x v="553"/>
    <s v="Normal"/>
  </r>
  <r>
    <x v="555"/>
    <x v="33"/>
    <s v="C88933"/>
    <x v="2"/>
    <n v="1"/>
    <n v="92.04"/>
    <s v="333 Main St"/>
    <x v="4"/>
    <x v="0"/>
    <s v="TRK89306964"/>
    <n v="2"/>
    <s v="No Coupon"/>
    <s v="Facebook"/>
    <x v="554"/>
    <s v="Normal"/>
  </r>
  <r>
    <x v="556"/>
    <x v="423"/>
    <s v="C30923"/>
    <x v="5"/>
    <n v="1"/>
    <n v="654.27"/>
    <s v="932 Main St"/>
    <x v="3"/>
    <x v="4"/>
    <s v="TRK82609328"/>
    <n v="2"/>
    <s v="SAVE10"/>
    <s v="Facebook"/>
    <x v="555"/>
    <s v="Normal"/>
  </r>
  <r>
    <x v="557"/>
    <x v="282"/>
    <s v="C56969"/>
    <x v="2"/>
    <n v="1"/>
    <n v="56.2"/>
    <s v="130 Main St"/>
    <x v="0"/>
    <x v="4"/>
    <s v="TRK40719215"/>
    <n v="1"/>
    <s v="WINTER15"/>
    <s v="Facebook"/>
    <x v="556"/>
    <s v="Normal"/>
  </r>
  <r>
    <x v="558"/>
    <x v="424"/>
    <s v="C76766"/>
    <x v="1"/>
    <n v="4"/>
    <n v="628.12"/>
    <s v="485 Main St"/>
    <x v="1"/>
    <x v="3"/>
    <s v="TRK32052962"/>
    <n v="6"/>
    <s v="WINTER15"/>
    <s v="Instagram"/>
    <x v="557"/>
    <s v="Normal"/>
  </r>
  <r>
    <x v="559"/>
    <x v="116"/>
    <s v="C22981"/>
    <x v="6"/>
    <n v="3"/>
    <n v="157.4"/>
    <s v="454 Main St"/>
    <x v="0"/>
    <x v="1"/>
    <s v="TRK10115285"/>
    <n v="7"/>
    <s v="WINTER15"/>
    <s v="Email"/>
    <x v="558"/>
    <s v="Normal"/>
  </r>
  <r>
    <x v="560"/>
    <x v="425"/>
    <s v="C33634"/>
    <x v="0"/>
    <n v="4"/>
    <n v="588.85"/>
    <s v="524 Main St"/>
    <x v="3"/>
    <x v="4"/>
    <s v="TRK93168008"/>
    <n v="7"/>
    <s v="No Coupon"/>
    <s v="Email"/>
    <x v="559"/>
    <s v="Normal"/>
  </r>
  <r>
    <x v="561"/>
    <x v="425"/>
    <s v="C96822"/>
    <x v="4"/>
    <n v="2"/>
    <n v="494.78"/>
    <s v="198 Main St"/>
    <x v="1"/>
    <x v="0"/>
    <s v="TRK89180077"/>
    <n v="2"/>
    <s v="No Coupon"/>
    <s v="Google"/>
    <x v="560"/>
    <s v="Normal"/>
  </r>
  <r>
    <x v="562"/>
    <x v="426"/>
    <s v="C76675"/>
    <x v="5"/>
    <n v="3"/>
    <n v="663.93"/>
    <s v="922 Main St"/>
    <x v="3"/>
    <x v="2"/>
    <s v="TRK28043915"/>
    <n v="6"/>
    <s v="FREESHIP"/>
    <s v="Email"/>
    <x v="561"/>
    <s v="Normal"/>
  </r>
  <r>
    <x v="563"/>
    <x v="427"/>
    <s v="C12039"/>
    <x v="5"/>
    <n v="1"/>
    <n v="132.68"/>
    <s v="844 Main St"/>
    <x v="0"/>
    <x v="2"/>
    <s v="TRK68645763"/>
    <n v="1"/>
    <s v="SAVE10"/>
    <s v="Referral"/>
    <x v="562"/>
    <s v="Normal"/>
  </r>
  <r>
    <x v="564"/>
    <x v="428"/>
    <s v="C93309"/>
    <x v="6"/>
    <n v="5"/>
    <n v="364.28"/>
    <s v="734 Main St"/>
    <x v="2"/>
    <x v="1"/>
    <s v="TRK99446987"/>
    <n v="5"/>
    <s v="WINTER15"/>
    <s v="Google"/>
    <x v="563"/>
    <s v="Normal"/>
  </r>
  <r>
    <x v="565"/>
    <x v="429"/>
    <s v="C62042"/>
    <x v="2"/>
    <n v="5"/>
    <n v="307.98"/>
    <s v="214 Main St"/>
    <x v="1"/>
    <x v="4"/>
    <s v="TRK42605492"/>
    <n v="10"/>
    <s v="No Coupon"/>
    <s v="Facebook"/>
    <x v="564"/>
    <s v="Normal"/>
  </r>
  <r>
    <x v="566"/>
    <x v="171"/>
    <s v="C83223"/>
    <x v="1"/>
    <n v="4"/>
    <n v="162.71"/>
    <s v="167 Main St"/>
    <x v="4"/>
    <x v="1"/>
    <s v="TRK54339083"/>
    <n v="7"/>
    <s v="FREESHIP"/>
    <s v="Email"/>
    <x v="565"/>
    <s v="Normal"/>
  </r>
  <r>
    <x v="567"/>
    <x v="430"/>
    <s v="C92575"/>
    <x v="3"/>
    <n v="5"/>
    <n v="492.94"/>
    <s v="153 Main St"/>
    <x v="4"/>
    <x v="0"/>
    <s v="TRK53579227"/>
    <n v="10"/>
    <s v="FREESHIP"/>
    <s v="Email"/>
    <x v="566"/>
    <s v="Normal"/>
  </r>
  <r>
    <x v="568"/>
    <x v="401"/>
    <s v="C29072"/>
    <x v="5"/>
    <n v="2"/>
    <n v="343.99"/>
    <s v="312 Main St"/>
    <x v="1"/>
    <x v="3"/>
    <s v="TRK72334047"/>
    <n v="4"/>
    <s v="No Coupon"/>
    <s v="Google"/>
    <x v="567"/>
    <s v="Normal"/>
  </r>
  <r>
    <x v="569"/>
    <x v="29"/>
    <s v="C25783"/>
    <x v="6"/>
    <n v="5"/>
    <n v="250.68"/>
    <s v="672 Main St"/>
    <x v="4"/>
    <x v="0"/>
    <s v="TRK13289741"/>
    <n v="8"/>
    <s v="SAVE10"/>
    <s v="Instagram"/>
    <x v="568"/>
    <s v="Normal"/>
  </r>
  <r>
    <x v="570"/>
    <x v="431"/>
    <s v="C63727"/>
    <x v="6"/>
    <n v="2"/>
    <n v="362.14"/>
    <s v="122 Main St"/>
    <x v="0"/>
    <x v="4"/>
    <s v="TRK13611021"/>
    <n v="2"/>
    <s v="SAVE10"/>
    <s v="Instagram"/>
    <x v="569"/>
    <s v="Normal"/>
  </r>
  <r>
    <x v="571"/>
    <x v="432"/>
    <s v="C42365"/>
    <x v="2"/>
    <n v="1"/>
    <n v="214.08"/>
    <s v="867 Main St"/>
    <x v="3"/>
    <x v="2"/>
    <s v="TRK39563288"/>
    <n v="2"/>
    <s v="WINTER15"/>
    <s v="Google"/>
    <x v="570"/>
    <s v="Normal"/>
  </r>
  <r>
    <x v="572"/>
    <x v="433"/>
    <s v="C27438"/>
    <x v="4"/>
    <n v="1"/>
    <n v="70.319999999999993"/>
    <s v="341 Main St"/>
    <x v="4"/>
    <x v="2"/>
    <s v="TRK69125497"/>
    <n v="4"/>
    <s v="WINTER15"/>
    <s v="Facebook"/>
    <x v="571"/>
    <s v="Normal"/>
  </r>
  <r>
    <x v="573"/>
    <x v="261"/>
    <s v="C13205"/>
    <x v="3"/>
    <n v="5"/>
    <n v="421.42"/>
    <s v="522 Main St"/>
    <x v="0"/>
    <x v="1"/>
    <s v="TRK30686578"/>
    <n v="7"/>
    <s v="No Coupon"/>
    <s v="Instagram"/>
    <x v="572"/>
    <s v="Normal"/>
  </r>
  <r>
    <x v="574"/>
    <x v="434"/>
    <s v="C29685"/>
    <x v="3"/>
    <n v="5"/>
    <n v="384.69"/>
    <s v="275 Main St"/>
    <x v="2"/>
    <x v="4"/>
    <s v="TRK97733212"/>
    <n v="6"/>
    <s v="FREESHIP"/>
    <s v="Email"/>
    <x v="573"/>
    <s v="Normal"/>
  </r>
  <r>
    <x v="575"/>
    <x v="323"/>
    <s v="C74005"/>
    <x v="3"/>
    <n v="5"/>
    <n v="448.15"/>
    <s v="528 Main St"/>
    <x v="3"/>
    <x v="2"/>
    <s v="TRK61640534"/>
    <n v="7"/>
    <s v="SAVE10"/>
    <s v="Google"/>
    <x v="574"/>
    <s v="Normal"/>
  </r>
  <r>
    <x v="576"/>
    <x v="382"/>
    <s v="C14457"/>
    <x v="5"/>
    <n v="5"/>
    <n v="79.08"/>
    <s v="747 Main St"/>
    <x v="4"/>
    <x v="4"/>
    <s v="TRK42517811"/>
    <n v="8"/>
    <s v="No Coupon"/>
    <s v="Facebook"/>
    <x v="575"/>
    <s v="Normal"/>
  </r>
  <r>
    <x v="577"/>
    <x v="55"/>
    <s v="C77046"/>
    <x v="2"/>
    <n v="4"/>
    <n v="185.41"/>
    <s v="967 Main St"/>
    <x v="1"/>
    <x v="2"/>
    <s v="TRK44401497"/>
    <n v="9"/>
    <s v="WINTER15"/>
    <s v="Google"/>
    <x v="576"/>
    <s v="Normal"/>
  </r>
  <r>
    <x v="578"/>
    <x v="84"/>
    <s v="C50415"/>
    <x v="0"/>
    <n v="5"/>
    <n v="566.07000000000005"/>
    <s v="587 Main St"/>
    <x v="2"/>
    <x v="3"/>
    <s v="TRK41345634"/>
    <n v="6"/>
    <s v="SAVE10"/>
    <s v="Instagram"/>
    <x v="577"/>
    <s v="Normal"/>
  </r>
  <r>
    <x v="579"/>
    <x v="243"/>
    <s v="C73999"/>
    <x v="2"/>
    <n v="2"/>
    <n v="187.88"/>
    <s v="413 Main St"/>
    <x v="1"/>
    <x v="0"/>
    <s v="TRK67919507"/>
    <n v="4"/>
    <s v="WINTER15"/>
    <s v="Facebook"/>
    <x v="578"/>
    <s v="Normal"/>
  </r>
  <r>
    <x v="580"/>
    <x v="414"/>
    <s v="C71076"/>
    <x v="0"/>
    <n v="2"/>
    <n v="255.99"/>
    <s v="340 Main St"/>
    <x v="2"/>
    <x v="3"/>
    <s v="TRK65148292"/>
    <n v="4"/>
    <s v="SAVE10"/>
    <s v="Instagram"/>
    <x v="579"/>
    <s v="Normal"/>
  </r>
  <r>
    <x v="581"/>
    <x v="435"/>
    <s v="C44674"/>
    <x v="5"/>
    <n v="1"/>
    <n v="627.34"/>
    <s v="942 Main St"/>
    <x v="1"/>
    <x v="3"/>
    <s v="TRK87158684"/>
    <n v="1"/>
    <s v="No Coupon"/>
    <s v="Referral"/>
    <x v="580"/>
    <s v="Normal"/>
  </r>
  <r>
    <x v="582"/>
    <x v="436"/>
    <s v="C15228"/>
    <x v="2"/>
    <n v="3"/>
    <n v="474.14"/>
    <s v="558 Main St"/>
    <x v="3"/>
    <x v="0"/>
    <s v="TRK33860620"/>
    <n v="8"/>
    <s v="WINTER15"/>
    <s v="Google"/>
    <x v="581"/>
    <s v="Normal"/>
  </r>
  <r>
    <x v="583"/>
    <x v="437"/>
    <s v="C27072"/>
    <x v="3"/>
    <n v="3"/>
    <n v="154.37"/>
    <s v="996 Main St"/>
    <x v="3"/>
    <x v="3"/>
    <s v="TRK29750379"/>
    <n v="4"/>
    <s v="No Coupon"/>
    <s v="Instagram"/>
    <x v="582"/>
    <s v="Normal"/>
  </r>
  <r>
    <x v="584"/>
    <x v="438"/>
    <s v="C15257"/>
    <x v="3"/>
    <n v="4"/>
    <n v="145.05000000000001"/>
    <s v="626 Main St"/>
    <x v="1"/>
    <x v="3"/>
    <s v="TRK28779938"/>
    <n v="6"/>
    <s v="SAVE10"/>
    <s v="Google"/>
    <x v="583"/>
    <s v="Normal"/>
  </r>
  <r>
    <x v="585"/>
    <x v="38"/>
    <s v="C91486"/>
    <x v="2"/>
    <n v="4"/>
    <n v="67.08"/>
    <s v="907 Main St"/>
    <x v="4"/>
    <x v="2"/>
    <s v="TRK79617136"/>
    <n v="8"/>
    <s v="WINTER15"/>
    <s v="Google"/>
    <x v="584"/>
    <s v="Normal"/>
  </r>
  <r>
    <x v="586"/>
    <x v="337"/>
    <s v="C17389"/>
    <x v="0"/>
    <n v="1"/>
    <n v="522.08000000000004"/>
    <s v="905 Main St"/>
    <x v="3"/>
    <x v="2"/>
    <s v="TRK98857880"/>
    <n v="5"/>
    <s v="FREESHIP"/>
    <s v="Referral"/>
    <x v="585"/>
    <s v="Normal"/>
  </r>
  <r>
    <x v="587"/>
    <x v="439"/>
    <s v="C18820"/>
    <x v="0"/>
    <n v="5"/>
    <n v="514.6"/>
    <s v="347 Main St"/>
    <x v="3"/>
    <x v="3"/>
    <s v="TRK91547425"/>
    <n v="10"/>
    <s v="FREESHIP"/>
    <s v="Instagram"/>
    <x v="586"/>
    <s v="Normal"/>
  </r>
  <r>
    <x v="588"/>
    <x v="440"/>
    <s v="C61849"/>
    <x v="0"/>
    <n v="4"/>
    <n v="577.82000000000005"/>
    <s v="811 Main St"/>
    <x v="2"/>
    <x v="3"/>
    <s v="TRK47613918"/>
    <n v="9"/>
    <s v="No Coupon"/>
    <s v="Google"/>
    <x v="587"/>
    <s v="Normal"/>
  </r>
  <r>
    <x v="589"/>
    <x v="441"/>
    <s v="C84041"/>
    <x v="5"/>
    <n v="2"/>
    <n v="500.8"/>
    <s v="900 Main St"/>
    <x v="4"/>
    <x v="3"/>
    <s v="TRK84920444"/>
    <n v="3"/>
    <s v="FREESHIP"/>
    <s v="Referral"/>
    <x v="588"/>
    <s v="Normal"/>
  </r>
  <r>
    <x v="590"/>
    <x v="442"/>
    <s v="C55757"/>
    <x v="4"/>
    <n v="2"/>
    <n v="461.13"/>
    <s v="175 Main St"/>
    <x v="3"/>
    <x v="2"/>
    <s v="TRK27356242"/>
    <n v="4"/>
    <s v="No Coupon"/>
    <s v="Email"/>
    <x v="589"/>
    <s v="Normal"/>
  </r>
  <r>
    <x v="591"/>
    <x v="249"/>
    <s v="C18187"/>
    <x v="5"/>
    <n v="1"/>
    <n v="605.28"/>
    <s v="470 Main St"/>
    <x v="3"/>
    <x v="0"/>
    <s v="TRK50528185"/>
    <n v="3"/>
    <s v="FREESHIP"/>
    <s v="Referral"/>
    <x v="590"/>
    <s v="Normal"/>
  </r>
  <r>
    <x v="592"/>
    <x v="234"/>
    <s v="C42306"/>
    <x v="1"/>
    <n v="3"/>
    <n v="204.27"/>
    <s v="938 Main St"/>
    <x v="1"/>
    <x v="2"/>
    <s v="TRK15499648"/>
    <n v="4"/>
    <s v="No Coupon"/>
    <s v="Google"/>
    <x v="591"/>
    <s v="Normal"/>
  </r>
  <r>
    <x v="593"/>
    <x v="443"/>
    <s v="C51024"/>
    <x v="0"/>
    <n v="1"/>
    <n v="489.8"/>
    <s v="636 Main St"/>
    <x v="3"/>
    <x v="0"/>
    <s v="TRK31375086"/>
    <n v="4"/>
    <s v="FREESHIP"/>
    <s v="Facebook"/>
    <x v="592"/>
    <s v="Normal"/>
  </r>
  <r>
    <x v="594"/>
    <x v="444"/>
    <s v="C40140"/>
    <x v="1"/>
    <n v="5"/>
    <n v="72.64"/>
    <s v="598 Main St"/>
    <x v="2"/>
    <x v="1"/>
    <s v="TRK12671989"/>
    <n v="7"/>
    <s v="No Coupon"/>
    <s v="Email"/>
    <x v="593"/>
    <s v="Normal"/>
  </r>
  <r>
    <x v="595"/>
    <x v="445"/>
    <s v="C72596"/>
    <x v="4"/>
    <n v="2"/>
    <n v="385.16"/>
    <s v="491 Main St"/>
    <x v="1"/>
    <x v="4"/>
    <s v="TRK83870446"/>
    <n v="7"/>
    <s v="SAVE10"/>
    <s v="Email"/>
    <x v="594"/>
    <s v="Normal"/>
  </r>
  <r>
    <x v="596"/>
    <x v="439"/>
    <s v="C91805"/>
    <x v="6"/>
    <n v="3"/>
    <n v="606.41"/>
    <s v="653 Main St"/>
    <x v="0"/>
    <x v="2"/>
    <s v="TRK34504030"/>
    <n v="7"/>
    <s v="FREESHIP"/>
    <s v="Facebook"/>
    <x v="595"/>
    <s v="Normal"/>
  </r>
  <r>
    <x v="597"/>
    <x v="446"/>
    <s v="C40538"/>
    <x v="6"/>
    <n v="2"/>
    <n v="211.82"/>
    <s v="700 Main St"/>
    <x v="3"/>
    <x v="1"/>
    <s v="TRK29821356"/>
    <n v="4"/>
    <s v="WINTER15"/>
    <s v="Email"/>
    <x v="596"/>
    <s v="Normal"/>
  </r>
  <r>
    <x v="598"/>
    <x v="447"/>
    <s v="C60329"/>
    <x v="6"/>
    <n v="5"/>
    <n v="495.35"/>
    <s v="826 Main St"/>
    <x v="2"/>
    <x v="4"/>
    <s v="TRK59069987"/>
    <n v="5"/>
    <s v="No Coupon"/>
    <s v="Facebook"/>
    <x v="597"/>
    <s v="Normal"/>
  </r>
  <r>
    <x v="599"/>
    <x v="30"/>
    <s v="C28740"/>
    <x v="3"/>
    <n v="3"/>
    <n v="556.99"/>
    <s v="123 Main St"/>
    <x v="1"/>
    <x v="1"/>
    <s v="TRK33642221"/>
    <n v="4"/>
    <s v="FREESHIP"/>
    <s v="Facebook"/>
    <x v="598"/>
    <s v="Normal"/>
  </r>
  <r>
    <x v="600"/>
    <x v="68"/>
    <s v="C87051"/>
    <x v="4"/>
    <n v="1"/>
    <n v="72.31"/>
    <s v="460 Main St"/>
    <x v="3"/>
    <x v="1"/>
    <s v="TRK82056333"/>
    <n v="1"/>
    <s v="FREESHIP"/>
    <s v="Facebook"/>
    <x v="599"/>
    <s v="Normal"/>
  </r>
  <r>
    <x v="601"/>
    <x v="276"/>
    <s v="C12479"/>
    <x v="0"/>
    <n v="5"/>
    <n v="24.82"/>
    <s v="529 Main St"/>
    <x v="2"/>
    <x v="0"/>
    <s v="TRK73935314"/>
    <n v="10"/>
    <s v="No Coupon"/>
    <s v="Referral"/>
    <x v="600"/>
    <s v="Normal"/>
  </r>
  <r>
    <x v="602"/>
    <x v="448"/>
    <s v="C35852"/>
    <x v="2"/>
    <n v="4"/>
    <n v="26.04"/>
    <s v="982 Main St"/>
    <x v="1"/>
    <x v="4"/>
    <s v="TRK64660134"/>
    <n v="5"/>
    <s v="SAVE10"/>
    <s v="Instagram"/>
    <x v="601"/>
    <s v="Normal"/>
  </r>
  <r>
    <x v="603"/>
    <x v="449"/>
    <s v="C26223"/>
    <x v="2"/>
    <n v="1"/>
    <n v="657.07"/>
    <s v="800 Main St"/>
    <x v="4"/>
    <x v="4"/>
    <s v="TRK50900547"/>
    <n v="4"/>
    <s v="SAVE10"/>
    <s v="Google"/>
    <x v="602"/>
    <s v="Normal"/>
  </r>
  <r>
    <x v="604"/>
    <x v="450"/>
    <s v="C99214"/>
    <x v="3"/>
    <n v="3"/>
    <n v="32.619999999999997"/>
    <s v="252 Main St"/>
    <x v="0"/>
    <x v="3"/>
    <s v="TRK81368481"/>
    <n v="6"/>
    <s v="No Coupon"/>
    <s v="Facebook"/>
    <x v="603"/>
    <s v="Normal"/>
  </r>
  <r>
    <x v="605"/>
    <x v="451"/>
    <s v="C49605"/>
    <x v="0"/>
    <n v="2"/>
    <n v="228.91"/>
    <s v="892 Main St"/>
    <x v="0"/>
    <x v="0"/>
    <s v="TRK95620066"/>
    <n v="4"/>
    <s v="SAVE10"/>
    <s v="Referral"/>
    <x v="604"/>
    <s v="Normal"/>
  </r>
  <r>
    <x v="606"/>
    <x v="119"/>
    <s v="C85018"/>
    <x v="5"/>
    <n v="3"/>
    <n v="274.75"/>
    <s v="783 Main St"/>
    <x v="4"/>
    <x v="1"/>
    <s v="TRK54128886"/>
    <n v="3"/>
    <s v="SAVE10"/>
    <s v="Google"/>
    <x v="605"/>
    <s v="Normal"/>
  </r>
  <r>
    <x v="607"/>
    <x v="133"/>
    <s v="C96434"/>
    <x v="4"/>
    <n v="4"/>
    <n v="634.04999999999995"/>
    <s v="282 Main St"/>
    <x v="4"/>
    <x v="0"/>
    <s v="TRK56730647"/>
    <n v="6"/>
    <s v="SAVE10"/>
    <s v="Google"/>
    <x v="606"/>
    <s v="Normal"/>
  </r>
  <r>
    <x v="608"/>
    <x v="25"/>
    <s v="C32956"/>
    <x v="5"/>
    <n v="5"/>
    <n v="543.16"/>
    <s v="788 Main St"/>
    <x v="1"/>
    <x v="1"/>
    <s v="TRK73140103"/>
    <n v="6"/>
    <s v="SAVE10"/>
    <s v="Instagram"/>
    <x v="607"/>
    <s v="Normal"/>
  </r>
  <r>
    <x v="609"/>
    <x v="109"/>
    <s v="C41137"/>
    <x v="3"/>
    <n v="3"/>
    <n v="449.13"/>
    <s v="809 Main St"/>
    <x v="4"/>
    <x v="2"/>
    <s v="TRK52732162"/>
    <n v="5"/>
    <s v="WINTER15"/>
    <s v="Referral"/>
    <x v="608"/>
    <s v="Normal"/>
  </r>
  <r>
    <x v="610"/>
    <x v="452"/>
    <s v="C60361"/>
    <x v="6"/>
    <n v="5"/>
    <n v="389.62"/>
    <s v="623 Main St"/>
    <x v="4"/>
    <x v="2"/>
    <s v="TRK83566924"/>
    <n v="7"/>
    <s v="FREESHIP"/>
    <s v="Facebook"/>
    <x v="609"/>
    <s v="Normal"/>
  </r>
  <r>
    <x v="611"/>
    <x v="453"/>
    <s v="C36688"/>
    <x v="6"/>
    <n v="1"/>
    <n v="305.17"/>
    <s v="700 Main St"/>
    <x v="3"/>
    <x v="2"/>
    <s v="TRK35720426"/>
    <n v="3"/>
    <s v="WINTER15"/>
    <s v="Referral"/>
    <x v="610"/>
    <s v="Normal"/>
  </r>
  <r>
    <x v="612"/>
    <x v="454"/>
    <s v="C51811"/>
    <x v="3"/>
    <n v="3"/>
    <n v="445.12"/>
    <s v="339 Main St"/>
    <x v="3"/>
    <x v="1"/>
    <s v="TRK82377939"/>
    <n v="8"/>
    <s v="No Coupon"/>
    <s v="Google"/>
    <x v="611"/>
    <s v="Normal"/>
  </r>
  <r>
    <x v="613"/>
    <x v="36"/>
    <s v="C62405"/>
    <x v="5"/>
    <n v="2"/>
    <n v="230.36"/>
    <s v="154 Main St"/>
    <x v="1"/>
    <x v="2"/>
    <s v="TRK14721763"/>
    <n v="4"/>
    <s v="WINTER15"/>
    <s v="Email"/>
    <x v="612"/>
    <s v="Normal"/>
  </r>
  <r>
    <x v="614"/>
    <x v="455"/>
    <s v="C77363"/>
    <x v="1"/>
    <n v="1"/>
    <n v="96.81"/>
    <s v="807 Main St"/>
    <x v="3"/>
    <x v="1"/>
    <s v="TRK12439827"/>
    <n v="3"/>
    <s v="No Coupon"/>
    <s v="Referral"/>
    <x v="613"/>
    <s v="Normal"/>
  </r>
  <r>
    <x v="615"/>
    <x v="456"/>
    <s v="C97218"/>
    <x v="0"/>
    <n v="5"/>
    <n v="460.14"/>
    <s v="252 Main St"/>
    <x v="2"/>
    <x v="2"/>
    <s v="TRK52632065"/>
    <n v="10"/>
    <s v="WINTER15"/>
    <s v="Facebook"/>
    <x v="614"/>
    <s v="Normal"/>
  </r>
  <r>
    <x v="616"/>
    <x v="457"/>
    <s v="C43919"/>
    <x v="2"/>
    <n v="3"/>
    <n v="601.6"/>
    <s v="984 Main St"/>
    <x v="2"/>
    <x v="1"/>
    <s v="TRK73113192"/>
    <n v="7"/>
    <s v="SAVE10"/>
    <s v="Facebook"/>
    <x v="615"/>
    <s v="Normal"/>
  </r>
  <r>
    <x v="617"/>
    <x v="458"/>
    <s v="C57093"/>
    <x v="2"/>
    <n v="3"/>
    <n v="184.47"/>
    <s v="834 Main St"/>
    <x v="1"/>
    <x v="1"/>
    <s v="TRK75469057"/>
    <n v="4"/>
    <s v="No Coupon"/>
    <s v="Referral"/>
    <x v="616"/>
    <s v="Normal"/>
  </r>
  <r>
    <x v="618"/>
    <x v="459"/>
    <s v="C50565"/>
    <x v="2"/>
    <n v="1"/>
    <n v="411.34"/>
    <s v="399 Main St"/>
    <x v="0"/>
    <x v="2"/>
    <s v="TRK97981418"/>
    <n v="5"/>
    <s v="No Coupon"/>
    <s v="Instagram"/>
    <x v="617"/>
    <s v="Normal"/>
  </r>
  <r>
    <x v="619"/>
    <x v="424"/>
    <s v="C38845"/>
    <x v="5"/>
    <n v="1"/>
    <n v="532.89"/>
    <s v="764 Main St"/>
    <x v="3"/>
    <x v="4"/>
    <s v="TRK47637374"/>
    <n v="2"/>
    <s v="No Coupon"/>
    <s v="Referral"/>
    <x v="618"/>
    <s v="Normal"/>
  </r>
  <r>
    <x v="620"/>
    <x v="460"/>
    <s v="C84834"/>
    <x v="2"/>
    <n v="3"/>
    <n v="136.34"/>
    <s v="866 Main St"/>
    <x v="0"/>
    <x v="2"/>
    <s v="TRK90136001"/>
    <n v="8"/>
    <s v="SAVE10"/>
    <s v="Referral"/>
    <x v="619"/>
    <s v="Normal"/>
  </r>
  <r>
    <x v="621"/>
    <x v="356"/>
    <s v="C37455"/>
    <x v="1"/>
    <n v="5"/>
    <n v="476.01"/>
    <s v="146 Main St"/>
    <x v="2"/>
    <x v="3"/>
    <s v="TRK82685594"/>
    <n v="7"/>
    <s v="WINTER15"/>
    <s v="Google"/>
    <x v="620"/>
    <s v="Normal"/>
  </r>
  <r>
    <x v="622"/>
    <x v="461"/>
    <s v="C27078"/>
    <x v="6"/>
    <n v="5"/>
    <n v="236.38"/>
    <s v="128 Main St"/>
    <x v="2"/>
    <x v="2"/>
    <s v="TRK89314307"/>
    <n v="7"/>
    <s v="No Coupon"/>
    <s v="Facebook"/>
    <x v="621"/>
    <s v="Normal"/>
  </r>
  <r>
    <x v="623"/>
    <x v="379"/>
    <s v="C91941"/>
    <x v="4"/>
    <n v="3"/>
    <n v="396"/>
    <s v="269 Main St"/>
    <x v="3"/>
    <x v="1"/>
    <s v="TRK21330732"/>
    <n v="4"/>
    <s v="FREESHIP"/>
    <s v="Instagram"/>
    <x v="622"/>
    <s v="Normal"/>
  </r>
  <r>
    <x v="624"/>
    <x v="462"/>
    <s v="C25967"/>
    <x v="2"/>
    <n v="5"/>
    <n v="341.96"/>
    <s v="747 Main St"/>
    <x v="0"/>
    <x v="3"/>
    <s v="TRK88559278"/>
    <n v="6"/>
    <s v="No Coupon"/>
    <s v="Email"/>
    <x v="623"/>
    <s v="Normal"/>
  </r>
  <r>
    <x v="625"/>
    <x v="463"/>
    <s v="C22123"/>
    <x v="2"/>
    <n v="1"/>
    <n v="672.89"/>
    <s v="519 Main St"/>
    <x v="2"/>
    <x v="4"/>
    <s v="TRK43250279"/>
    <n v="1"/>
    <s v="WINTER15"/>
    <s v="Email"/>
    <x v="624"/>
    <s v="Normal"/>
  </r>
  <r>
    <x v="626"/>
    <x v="417"/>
    <s v="C45671"/>
    <x v="2"/>
    <n v="2"/>
    <n v="657.48"/>
    <s v="769 Main St"/>
    <x v="1"/>
    <x v="0"/>
    <s v="TRK18179773"/>
    <n v="5"/>
    <s v="SAVE10"/>
    <s v="Referral"/>
    <x v="625"/>
    <s v="Normal"/>
  </r>
  <r>
    <x v="627"/>
    <x v="464"/>
    <s v="C53334"/>
    <x v="3"/>
    <n v="3"/>
    <n v="498.68"/>
    <s v="879 Main St"/>
    <x v="1"/>
    <x v="2"/>
    <s v="TRK31724421"/>
    <n v="4"/>
    <s v="FREESHIP"/>
    <s v="Email"/>
    <x v="626"/>
    <s v="Normal"/>
  </r>
  <r>
    <x v="628"/>
    <x v="465"/>
    <s v="C18717"/>
    <x v="4"/>
    <n v="5"/>
    <n v="558.63"/>
    <s v="861 Main St"/>
    <x v="4"/>
    <x v="4"/>
    <s v="TRK58568806"/>
    <n v="8"/>
    <s v="FREESHIP"/>
    <s v="Referral"/>
    <x v="627"/>
    <s v="Normal"/>
  </r>
  <r>
    <x v="629"/>
    <x v="466"/>
    <s v="C50137"/>
    <x v="1"/>
    <n v="3"/>
    <n v="19.73"/>
    <s v="840 Main St"/>
    <x v="1"/>
    <x v="4"/>
    <s v="TRK91836131"/>
    <n v="3"/>
    <s v="No Coupon"/>
    <s v="Referral"/>
    <x v="628"/>
    <s v="Normal"/>
  </r>
  <r>
    <x v="630"/>
    <x v="467"/>
    <s v="C51481"/>
    <x v="0"/>
    <n v="5"/>
    <n v="248.84"/>
    <s v="140 Main St"/>
    <x v="0"/>
    <x v="1"/>
    <s v="TRK33437701"/>
    <n v="10"/>
    <s v="No Coupon"/>
    <s v="Instagram"/>
    <x v="629"/>
    <s v="Normal"/>
  </r>
  <r>
    <x v="631"/>
    <x v="169"/>
    <s v="C99128"/>
    <x v="3"/>
    <n v="3"/>
    <n v="46.11"/>
    <s v="360 Main St"/>
    <x v="3"/>
    <x v="2"/>
    <s v="TRK32426808"/>
    <n v="5"/>
    <s v="WINTER15"/>
    <s v="Referral"/>
    <x v="630"/>
    <s v="Normal"/>
  </r>
  <r>
    <x v="632"/>
    <x v="468"/>
    <s v="C67260"/>
    <x v="5"/>
    <n v="5"/>
    <n v="678.16"/>
    <s v="463 Main St"/>
    <x v="3"/>
    <x v="3"/>
    <s v="TRK38229104"/>
    <n v="7"/>
    <s v="WINTER15"/>
    <s v="Facebook"/>
    <x v="631"/>
    <s v="Outlier"/>
  </r>
  <r>
    <x v="633"/>
    <x v="294"/>
    <s v="C79533"/>
    <x v="5"/>
    <n v="5"/>
    <n v="601.72"/>
    <s v="921 Main St"/>
    <x v="3"/>
    <x v="1"/>
    <s v="TRK54711422"/>
    <n v="5"/>
    <s v="WINTER15"/>
    <s v="Instagram"/>
    <x v="632"/>
    <s v="Normal"/>
  </r>
  <r>
    <x v="634"/>
    <x v="313"/>
    <s v="C66906"/>
    <x v="4"/>
    <n v="2"/>
    <n v="259.32"/>
    <s v="117 Main St"/>
    <x v="3"/>
    <x v="3"/>
    <s v="TRK31633755"/>
    <n v="2"/>
    <s v="WINTER15"/>
    <s v="Referral"/>
    <x v="633"/>
    <s v="Normal"/>
  </r>
  <r>
    <x v="635"/>
    <x v="141"/>
    <s v="C12818"/>
    <x v="3"/>
    <n v="3"/>
    <n v="63.68"/>
    <s v="434 Main St"/>
    <x v="4"/>
    <x v="2"/>
    <s v="TRK40879983"/>
    <n v="6"/>
    <s v="No Coupon"/>
    <s v="Facebook"/>
    <x v="634"/>
    <s v="Normal"/>
  </r>
  <r>
    <x v="636"/>
    <x v="469"/>
    <s v="C60384"/>
    <x v="5"/>
    <n v="4"/>
    <n v="371.07"/>
    <s v="336 Main St"/>
    <x v="4"/>
    <x v="1"/>
    <s v="TRK92080037"/>
    <n v="7"/>
    <s v="WINTER15"/>
    <s v="Facebook"/>
    <x v="635"/>
    <s v="Normal"/>
  </r>
  <r>
    <x v="637"/>
    <x v="470"/>
    <s v="C92294"/>
    <x v="3"/>
    <n v="4"/>
    <n v="306.35000000000002"/>
    <s v="784 Main St"/>
    <x v="3"/>
    <x v="0"/>
    <s v="TRK23585765"/>
    <n v="7"/>
    <s v="WINTER15"/>
    <s v="Referral"/>
    <x v="636"/>
    <s v="Normal"/>
  </r>
  <r>
    <x v="638"/>
    <x v="3"/>
    <s v="C66840"/>
    <x v="2"/>
    <n v="4"/>
    <n v="578.27"/>
    <s v="547 Main St"/>
    <x v="1"/>
    <x v="3"/>
    <s v="TRK76929637"/>
    <n v="9"/>
    <s v="WINTER15"/>
    <s v="Email"/>
    <x v="637"/>
    <s v="Normal"/>
  </r>
  <r>
    <x v="639"/>
    <x v="325"/>
    <s v="C22534"/>
    <x v="3"/>
    <n v="1"/>
    <n v="529.19000000000005"/>
    <s v="391 Main St"/>
    <x v="4"/>
    <x v="1"/>
    <s v="TRK17415798"/>
    <n v="5"/>
    <s v="No Coupon"/>
    <s v="Referral"/>
    <x v="638"/>
    <s v="Normal"/>
  </r>
  <r>
    <x v="640"/>
    <x v="2"/>
    <s v="C46509"/>
    <x v="3"/>
    <n v="2"/>
    <n v="587.49"/>
    <s v="647 Main St"/>
    <x v="3"/>
    <x v="2"/>
    <s v="TRK24241664"/>
    <n v="6"/>
    <s v="SAVE10"/>
    <s v="Referral"/>
    <x v="639"/>
    <s v="Normal"/>
  </r>
  <r>
    <x v="641"/>
    <x v="471"/>
    <s v="C71680"/>
    <x v="4"/>
    <n v="4"/>
    <n v="567.57000000000005"/>
    <s v="814 Main St"/>
    <x v="0"/>
    <x v="4"/>
    <s v="TRK47386650"/>
    <n v="9"/>
    <s v="WINTER15"/>
    <s v="Google"/>
    <x v="640"/>
    <s v="Normal"/>
  </r>
  <r>
    <x v="642"/>
    <x v="472"/>
    <s v="C15063"/>
    <x v="3"/>
    <n v="5"/>
    <n v="85.22"/>
    <s v="527 Main St"/>
    <x v="2"/>
    <x v="1"/>
    <s v="TRK10329390"/>
    <n v="7"/>
    <s v="FREESHIP"/>
    <s v="Email"/>
    <x v="641"/>
    <s v="Normal"/>
  </r>
  <r>
    <x v="643"/>
    <x v="360"/>
    <s v="C77122"/>
    <x v="5"/>
    <n v="1"/>
    <n v="438.37"/>
    <s v="647 Main St"/>
    <x v="4"/>
    <x v="1"/>
    <s v="TRK75814880"/>
    <n v="4"/>
    <s v="SAVE10"/>
    <s v="Referral"/>
    <x v="642"/>
    <s v="Normal"/>
  </r>
  <r>
    <x v="644"/>
    <x v="375"/>
    <s v="C86524"/>
    <x v="3"/>
    <n v="2"/>
    <n v="366.23"/>
    <s v="961 Main St"/>
    <x v="4"/>
    <x v="0"/>
    <s v="TRK62490506"/>
    <n v="2"/>
    <s v="WINTER15"/>
    <s v="Email"/>
    <x v="643"/>
    <s v="Normal"/>
  </r>
  <r>
    <x v="645"/>
    <x v="315"/>
    <s v="C82990"/>
    <x v="5"/>
    <n v="2"/>
    <n v="150.05000000000001"/>
    <s v="727 Main St"/>
    <x v="2"/>
    <x v="1"/>
    <s v="TRK68574801"/>
    <n v="4"/>
    <s v="SAVE10"/>
    <s v="Facebook"/>
    <x v="644"/>
    <s v="Normal"/>
  </r>
  <r>
    <x v="646"/>
    <x v="122"/>
    <s v="C98761"/>
    <x v="3"/>
    <n v="4"/>
    <n v="498.51"/>
    <s v="804 Main St"/>
    <x v="0"/>
    <x v="0"/>
    <s v="TRK43262630"/>
    <n v="4"/>
    <s v="SAVE10"/>
    <s v="Google"/>
    <x v="645"/>
    <s v="Normal"/>
  </r>
  <r>
    <x v="647"/>
    <x v="473"/>
    <s v="C54409"/>
    <x v="6"/>
    <n v="3"/>
    <n v="339.39"/>
    <s v="667 Main St"/>
    <x v="4"/>
    <x v="2"/>
    <s v="TRK67671316"/>
    <n v="7"/>
    <s v="FREESHIP"/>
    <s v="Google"/>
    <x v="646"/>
    <s v="Normal"/>
  </r>
  <r>
    <x v="648"/>
    <x v="474"/>
    <s v="C89674"/>
    <x v="0"/>
    <n v="2"/>
    <n v="575.83000000000004"/>
    <s v="182 Main St"/>
    <x v="1"/>
    <x v="3"/>
    <s v="TRK45902512"/>
    <n v="3"/>
    <s v="WINTER15"/>
    <s v="Referral"/>
    <x v="647"/>
    <s v="Normal"/>
  </r>
  <r>
    <x v="649"/>
    <x v="475"/>
    <s v="C45899"/>
    <x v="0"/>
    <n v="2"/>
    <n v="642.98"/>
    <s v="153 Main St"/>
    <x v="0"/>
    <x v="2"/>
    <s v="TRK32932093"/>
    <n v="7"/>
    <s v="FREESHIP"/>
    <s v="Email"/>
    <x v="648"/>
    <s v="Normal"/>
  </r>
  <r>
    <x v="650"/>
    <x v="419"/>
    <s v="C74499"/>
    <x v="6"/>
    <n v="2"/>
    <n v="372.23"/>
    <s v="518 Main St"/>
    <x v="3"/>
    <x v="3"/>
    <s v="TRK93767278"/>
    <n v="7"/>
    <s v="SAVE10"/>
    <s v="Email"/>
    <x v="649"/>
    <s v="Normal"/>
  </r>
  <r>
    <x v="651"/>
    <x v="476"/>
    <s v="C81192"/>
    <x v="3"/>
    <n v="3"/>
    <n v="646.34"/>
    <s v="429 Main St"/>
    <x v="0"/>
    <x v="4"/>
    <s v="TRK76931118"/>
    <n v="5"/>
    <s v="No Coupon"/>
    <s v="Google"/>
    <x v="650"/>
    <s v="Normal"/>
  </r>
  <r>
    <x v="652"/>
    <x v="477"/>
    <s v="C71473"/>
    <x v="3"/>
    <n v="5"/>
    <n v="341.84"/>
    <s v="328 Main St"/>
    <x v="1"/>
    <x v="0"/>
    <s v="TRK94857335"/>
    <n v="8"/>
    <s v="FREESHIP"/>
    <s v="Instagram"/>
    <x v="651"/>
    <s v="Normal"/>
  </r>
  <r>
    <x v="653"/>
    <x v="402"/>
    <s v="C59338"/>
    <x v="4"/>
    <n v="3"/>
    <n v="690.3"/>
    <s v="747 Main St"/>
    <x v="2"/>
    <x v="0"/>
    <s v="TRK12902764"/>
    <n v="6"/>
    <s v="WINTER15"/>
    <s v="Google"/>
    <x v="652"/>
    <s v="Normal"/>
  </r>
  <r>
    <x v="654"/>
    <x v="439"/>
    <s v="C62661"/>
    <x v="2"/>
    <n v="3"/>
    <n v="382.37"/>
    <s v="863 Main St"/>
    <x v="0"/>
    <x v="2"/>
    <s v="TRK25748100"/>
    <n v="8"/>
    <s v="No Coupon"/>
    <s v="Instagram"/>
    <x v="653"/>
    <s v="Normal"/>
  </r>
  <r>
    <x v="655"/>
    <x v="369"/>
    <s v="C22101"/>
    <x v="3"/>
    <n v="2"/>
    <n v="132.6"/>
    <s v="262 Main St"/>
    <x v="0"/>
    <x v="1"/>
    <s v="TRK70711522"/>
    <n v="4"/>
    <s v="WINTER15"/>
    <s v="Email"/>
    <x v="654"/>
    <s v="Normal"/>
  </r>
  <r>
    <x v="656"/>
    <x v="343"/>
    <s v="C51404"/>
    <x v="0"/>
    <n v="2"/>
    <n v="189.06"/>
    <s v="835 Main St"/>
    <x v="3"/>
    <x v="0"/>
    <s v="TRK85682500"/>
    <n v="7"/>
    <s v="SAVE10"/>
    <s v="Facebook"/>
    <x v="655"/>
    <s v="Normal"/>
  </r>
  <r>
    <x v="657"/>
    <x v="478"/>
    <s v="C19384"/>
    <x v="2"/>
    <n v="4"/>
    <n v="87.79"/>
    <s v="532 Main St"/>
    <x v="4"/>
    <x v="1"/>
    <s v="TRK33207064"/>
    <n v="6"/>
    <s v="FREESHIP"/>
    <s v="Instagram"/>
    <x v="656"/>
    <s v="Normal"/>
  </r>
  <r>
    <x v="658"/>
    <x v="479"/>
    <s v="C86864"/>
    <x v="4"/>
    <n v="2"/>
    <n v="46.36"/>
    <s v="670 Main St"/>
    <x v="3"/>
    <x v="2"/>
    <s v="TRK15323191"/>
    <n v="4"/>
    <s v="SAVE10"/>
    <s v="Google"/>
    <x v="657"/>
    <s v="Normal"/>
  </r>
  <r>
    <x v="659"/>
    <x v="480"/>
    <s v="C24301"/>
    <x v="1"/>
    <n v="2"/>
    <n v="642.04"/>
    <s v="964 Main St"/>
    <x v="3"/>
    <x v="3"/>
    <s v="TRK55000075"/>
    <n v="4"/>
    <s v="WINTER15"/>
    <s v="Email"/>
    <x v="658"/>
    <s v="Normal"/>
  </r>
  <r>
    <x v="660"/>
    <x v="481"/>
    <s v="C43842"/>
    <x v="3"/>
    <n v="2"/>
    <n v="651.57000000000005"/>
    <s v="933 Main St"/>
    <x v="0"/>
    <x v="0"/>
    <s v="TRK54084424"/>
    <n v="7"/>
    <s v="WINTER15"/>
    <s v="Facebook"/>
    <x v="659"/>
    <s v="Normal"/>
  </r>
  <r>
    <x v="661"/>
    <x v="252"/>
    <s v="C63657"/>
    <x v="2"/>
    <n v="3"/>
    <n v="424.89"/>
    <s v="116 Main St"/>
    <x v="0"/>
    <x v="1"/>
    <s v="TRK86378984"/>
    <n v="6"/>
    <s v="FREESHIP"/>
    <s v="Google"/>
    <x v="660"/>
    <s v="Normal"/>
  </r>
  <r>
    <x v="662"/>
    <x v="423"/>
    <s v="C98332"/>
    <x v="5"/>
    <n v="3"/>
    <n v="438.89"/>
    <s v="985 Main St"/>
    <x v="4"/>
    <x v="2"/>
    <s v="TRK85744797"/>
    <n v="3"/>
    <s v="No Coupon"/>
    <s v="Facebook"/>
    <x v="661"/>
    <s v="Normal"/>
  </r>
  <r>
    <x v="663"/>
    <x v="116"/>
    <s v="C59774"/>
    <x v="0"/>
    <n v="1"/>
    <n v="72.599999999999994"/>
    <s v="941 Main St"/>
    <x v="0"/>
    <x v="1"/>
    <s v="TRK87635135"/>
    <n v="6"/>
    <s v="FREESHIP"/>
    <s v="Instagram"/>
    <x v="662"/>
    <s v="Normal"/>
  </r>
  <r>
    <x v="664"/>
    <x v="36"/>
    <s v="C14847"/>
    <x v="5"/>
    <n v="4"/>
    <n v="194.75"/>
    <s v="188 Main St"/>
    <x v="4"/>
    <x v="0"/>
    <s v="TRK46492755"/>
    <n v="5"/>
    <s v="No Coupon"/>
    <s v="Facebook"/>
    <x v="663"/>
    <s v="Normal"/>
  </r>
  <r>
    <x v="665"/>
    <x v="468"/>
    <s v="C83653"/>
    <x v="2"/>
    <n v="4"/>
    <n v="231.26"/>
    <s v="253 Main St"/>
    <x v="1"/>
    <x v="0"/>
    <s v="TRK32619935"/>
    <n v="6"/>
    <s v="WINTER15"/>
    <s v="Google"/>
    <x v="664"/>
    <s v="Normal"/>
  </r>
  <r>
    <x v="666"/>
    <x v="169"/>
    <s v="C35711"/>
    <x v="0"/>
    <n v="4"/>
    <n v="327.12"/>
    <s v="788 Main St"/>
    <x v="2"/>
    <x v="1"/>
    <s v="TRK45281495"/>
    <n v="4"/>
    <s v="No Coupon"/>
    <s v="Email"/>
    <x v="665"/>
    <s v="Normal"/>
  </r>
  <r>
    <x v="667"/>
    <x v="71"/>
    <s v="C10477"/>
    <x v="5"/>
    <n v="1"/>
    <n v="466.42"/>
    <s v="172 Main St"/>
    <x v="3"/>
    <x v="4"/>
    <s v="TRK41505339"/>
    <n v="5"/>
    <s v="SAVE10"/>
    <s v="Email"/>
    <x v="666"/>
    <s v="Normal"/>
  </r>
  <r>
    <x v="668"/>
    <x v="482"/>
    <s v="C61257"/>
    <x v="0"/>
    <n v="2"/>
    <n v="253.67"/>
    <s v="981 Main St"/>
    <x v="4"/>
    <x v="2"/>
    <s v="TRK25226070"/>
    <n v="3"/>
    <s v="WINTER15"/>
    <s v="Facebook"/>
    <x v="667"/>
    <s v="Normal"/>
  </r>
  <r>
    <x v="669"/>
    <x v="483"/>
    <s v="C60547"/>
    <x v="6"/>
    <n v="1"/>
    <n v="257"/>
    <s v="812 Main St"/>
    <x v="0"/>
    <x v="1"/>
    <s v="TRK65694249"/>
    <n v="5"/>
    <s v="No Coupon"/>
    <s v="Referral"/>
    <x v="668"/>
    <s v="Normal"/>
  </r>
  <r>
    <x v="670"/>
    <x v="171"/>
    <s v="C14576"/>
    <x v="6"/>
    <n v="4"/>
    <n v="539.20000000000005"/>
    <s v="747 Main St"/>
    <x v="2"/>
    <x v="4"/>
    <s v="TRK21637540"/>
    <n v="8"/>
    <s v="FREESHIP"/>
    <s v="Google"/>
    <x v="669"/>
    <s v="Normal"/>
  </r>
  <r>
    <x v="671"/>
    <x v="484"/>
    <s v="C49282"/>
    <x v="3"/>
    <n v="5"/>
    <n v="50.74"/>
    <s v="737 Main St"/>
    <x v="3"/>
    <x v="1"/>
    <s v="TRK88653901"/>
    <n v="7"/>
    <s v="WINTER15"/>
    <s v="Google"/>
    <x v="670"/>
    <s v="Normal"/>
  </r>
  <r>
    <x v="672"/>
    <x v="221"/>
    <s v="C14017"/>
    <x v="1"/>
    <n v="2"/>
    <n v="624.16"/>
    <s v="984 Main St"/>
    <x v="0"/>
    <x v="0"/>
    <s v="TRK71009446"/>
    <n v="2"/>
    <s v="SAVE10"/>
    <s v="Instagram"/>
    <x v="671"/>
    <s v="Normal"/>
  </r>
  <r>
    <x v="673"/>
    <x v="485"/>
    <s v="C46504"/>
    <x v="2"/>
    <n v="2"/>
    <n v="372.92"/>
    <s v="131 Main St"/>
    <x v="2"/>
    <x v="3"/>
    <s v="TRK95024356"/>
    <n v="7"/>
    <s v="SAVE10"/>
    <s v="Email"/>
    <x v="672"/>
    <s v="Normal"/>
  </r>
  <r>
    <x v="674"/>
    <x v="486"/>
    <s v="C56928"/>
    <x v="5"/>
    <n v="4"/>
    <n v="358.75"/>
    <s v="860 Main St"/>
    <x v="3"/>
    <x v="3"/>
    <s v="TRK57792939"/>
    <n v="9"/>
    <s v="SAVE10"/>
    <s v="Facebook"/>
    <x v="673"/>
    <s v="Normal"/>
  </r>
  <r>
    <x v="675"/>
    <x v="76"/>
    <s v="C97749"/>
    <x v="6"/>
    <n v="3"/>
    <n v="342.02"/>
    <s v="906 Main St"/>
    <x v="0"/>
    <x v="4"/>
    <s v="TRK90233116"/>
    <n v="5"/>
    <s v="No Coupon"/>
    <s v="Email"/>
    <x v="674"/>
    <s v="Normal"/>
  </r>
  <r>
    <x v="676"/>
    <x v="127"/>
    <s v="C90431"/>
    <x v="5"/>
    <n v="2"/>
    <n v="422.34"/>
    <s v="985 Main St"/>
    <x v="2"/>
    <x v="1"/>
    <s v="TRK44151723"/>
    <n v="4"/>
    <s v="FREESHIP"/>
    <s v="Instagram"/>
    <x v="675"/>
    <s v="Normal"/>
  </r>
  <r>
    <x v="677"/>
    <x v="487"/>
    <s v="C56722"/>
    <x v="2"/>
    <n v="5"/>
    <n v="22.07"/>
    <s v="179 Main St"/>
    <x v="1"/>
    <x v="1"/>
    <s v="TRK78778569"/>
    <n v="7"/>
    <s v="FREESHIP"/>
    <s v="Instagram"/>
    <x v="676"/>
    <s v="Normal"/>
  </r>
  <r>
    <x v="678"/>
    <x v="167"/>
    <s v="C40863"/>
    <x v="3"/>
    <n v="3"/>
    <n v="163.13"/>
    <s v="457 Main St"/>
    <x v="3"/>
    <x v="0"/>
    <s v="TRK20553345"/>
    <n v="5"/>
    <s v="WINTER15"/>
    <s v="Facebook"/>
    <x v="677"/>
    <s v="Normal"/>
  </r>
  <r>
    <x v="679"/>
    <x v="488"/>
    <s v="C40798"/>
    <x v="2"/>
    <n v="3"/>
    <n v="360.66"/>
    <s v="304 Main St"/>
    <x v="1"/>
    <x v="2"/>
    <s v="TRK66106697"/>
    <n v="5"/>
    <s v="FREESHIP"/>
    <s v="Instagram"/>
    <x v="678"/>
    <s v="Normal"/>
  </r>
  <r>
    <x v="680"/>
    <x v="183"/>
    <s v="C16702"/>
    <x v="0"/>
    <n v="3"/>
    <n v="463.39"/>
    <s v="694 Main St"/>
    <x v="2"/>
    <x v="2"/>
    <s v="TRK16953491"/>
    <n v="3"/>
    <s v="No Coupon"/>
    <s v="Facebook"/>
    <x v="679"/>
    <s v="Normal"/>
  </r>
  <r>
    <x v="681"/>
    <x v="489"/>
    <s v="C38262"/>
    <x v="2"/>
    <n v="1"/>
    <n v="155.27000000000001"/>
    <s v="548 Main St"/>
    <x v="0"/>
    <x v="0"/>
    <s v="TRK47300502"/>
    <n v="6"/>
    <s v="No Coupon"/>
    <s v="Email"/>
    <x v="680"/>
    <s v="Normal"/>
  </r>
  <r>
    <x v="682"/>
    <x v="363"/>
    <s v="C50274"/>
    <x v="0"/>
    <n v="3"/>
    <n v="509.42"/>
    <s v="449 Main St"/>
    <x v="2"/>
    <x v="1"/>
    <s v="TRK91729086"/>
    <n v="5"/>
    <s v="FREESHIP"/>
    <s v="Google"/>
    <x v="681"/>
    <s v="Normal"/>
  </r>
  <r>
    <x v="683"/>
    <x v="490"/>
    <s v="C91591"/>
    <x v="6"/>
    <n v="4"/>
    <n v="652.48"/>
    <s v="887 Main St"/>
    <x v="4"/>
    <x v="4"/>
    <s v="TRK23554043"/>
    <n v="5"/>
    <s v="FREESHIP"/>
    <s v="Instagram"/>
    <x v="682"/>
    <s v="Normal"/>
  </r>
  <r>
    <x v="684"/>
    <x v="491"/>
    <s v="C96583"/>
    <x v="4"/>
    <n v="4"/>
    <n v="34.840000000000003"/>
    <s v="288 Main St"/>
    <x v="2"/>
    <x v="0"/>
    <s v="TRK64353241"/>
    <n v="8"/>
    <s v="No Coupon"/>
    <s v="Email"/>
    <x v="683"/>
    <s v="Normal"/>
  </r>
  <r>
    <x v="685"/>
    <x v="492"/>
    <s v="C64579"/>
    <x v="6"/>
    <n v="1"/>
    <n v="234.37"/>
    <s v="638 Main St"/>
    <x v="0"/>
    <x v="0"/>
    <s v="TRK10276565"/>
    <n v="5"/>
    <s v="FREESHIP"/>
    <s v="Email"/>
    <x v="684"/>
    <s v="Normal"/>
  </r>
  <r>
    <x v="686"/>
    <x v="112"/>
    <s v="C41903"/>
    <x v="6"/>
    <n v="3"/>
    <n v="53.6"/>
    <s v="525 Main St"/>
    <x v="4"/>
    <x v="4"/>
    <s v="TRK59112382"/>
    <n v="4"/>
    <s v="WINTER15"/>
    <s v="Facebook"/>
    <x v="685"/>
    <s v="Normal"/>
  </r>
  <r>
    <x v="687"/>
    <x v="493"/>
    <s v="C19742"/>
    <x v="2"/>
    <n v="1"/>
    <n v="332.09"/>
    <s v="408 Main St"/>
    <x v="3"/>
    <x v="2"/>
    <s v="TRK68845230"/>
    <n v="5"/>
    <s v="FREESHIP"/>
    <s v="Instagram"/>
    <x v="686"/>
    <s v="Normal"/>
  </r>
  <r>
    <x v="688"/>
    <x v="26"/>
    <s v="C20077"/>
    <x v="0"/>
    <n v="4"/>
    <n v="593.22"/>
    <s v="154 Main St"/>
    <x v="2"/>
    <x v="1"/>
    <s v="TRK36415742"/>
    <n v="8"/>
    <s v="WINTER15"/>
    <s v="Facebook"/>
    <x v="687"/>
    <s v="Normal"/>
  </r>
  <r>
    <x v="689"/>
    <x v="193"/>
    <s v="C13186"/>
    <x v="2"/>
    <n v="2"/>
    <n v="444.84"/>
    <s v="787 Main St"/>
    <x v="1"/>
    <x v="0"/>
    <s v="TRK56967415"/>
    <n v="7"/>
    <s v="No Coupon"/>
    <s v="Facebook"/>
    <x v="688"/>
    <s v="Normal"/>
  </r>
  <r>
    <x v="690"/>
    <x v="494"/>
    <s v="C29318"/>
    <x v="0"/>
    <n v="1"/>
    <n v="24.48"/>
    <s v="128 Main St"/>
    <x v="3"/>
    <x v="2"/>
    <s v="TRK88666721"/>
    <n v="1"/>
    <s v="No Coupon"/>
    <s v="Instagram"/>
    <x v="689"/>
    <s v="Normal"/>
  </r>
  <r>
    <x v="691"/>
    <x v="167"/>
    <s v="C36137"/>
    <x v="5"/>
    <n v="3"/>
    <n v="239.08"/>
    <s v="396 Main St"/>
    <x v="4"/>
    <x v="0"/>
    <s v="TRK57376416"/>
    <n v="8"/>
    <s v="No Coupon"/>
    <s v="Google"/>
    <x v="690"/>
    <s v="Normal"/>
  </r>
  <r>
    <x v="692"/>
    <x v="19"/>
    <s v="C25534"/>
    <x v="6"/>
    <n v="5"/>
    <n v="196.84"/>
    <s v="319 Main St"/>
    <x v="2"/>
    <x v="3"/>
    <s v="TRK68347402"/>
    <n v="5"/>
    <s v="WINTER15"/>
    <s v="Instagram"/>
    <x v="691"/>
    <s v="Normal"/>
  </r>
  <r>
    <x v="693"/>
    <x v="495"/>
    <s v="C62070"/>
    <x v="0"/>
    <n v="1"/>
    <n v="176.58"/>
    <s v="674 Main St"/>
    <x v="0"/>
    <x v="2"/>
    <s v="TRK10267127"/>
    <n v="4"/>
    <s v="No Coupon"/>
    <s v="Referral"/>
    <x v="692"/>
    <s v="Normal"/>
  </r>
  <r>
    <x v="694"/>
    <x v="276"/>
    <s v="C92049"/>
    <x v="4"/>
    <n v="4"/>
    <n v="666.52"/>
    <s v="619 Main St"/>
    <x v="4"/>
    <x v="0"/>
    <s v="TRK32287092"/>
    <n v="8"/>
    <s v="FREESHIP"/>
    <s v="Email"/>
    <x v="693"/>
    <s v="Normal"/>
  </r>
  <r>
    <x v="695"/>
    <x v="432"/>
    <s v="C52604"/>
    <x v="4"/>
    <n v="5"/>
    <n v="101.3"/>
    <s v="553 Main St"/>
    <x v="1"/>
    <x v="0"/>
    <s v="TRK48839788"/>
    <n v="7"/>
    <s v="FREESHIP"/>
    <s v="Email"/>
    <x v="694"/>
    <s v="Normal"/>
  </r>
  <r>
    <x v="696"/>
    <x v="226"/>
    <s v="C22429"/>
    <x v="3"/>
    <n v="4"/>
    <n v="151.19999999999999"/>
    <s v="965 Main St"/>
    <x v="3"/>
    <x v="4"/>
    <s v="TRK38572927"/>
    <n v="9"/>
    <s v="WINTER15"/>
    <s v="Facebook"/>
    <x v="695"/>
    <s v="Normal"/>
  </r>
  <r>
    <x v="697"/>
    <x v="496"/>
    <s v="C27430"/>
    <x v="4"/>
    <n v="5"/>
    <n v="94.85"/>
    <s v="788 Main St"/>
    <x v="4"/>
    <x v="0"/>
    <s v="TRK45025840"/>
    <n v="6"/>
    <s v="WINTER15"/>
    <s v="Email"/>
    <x v="696"/>
    <s v="Normal"/>
  </r>
  <r>
    <x v="698"/>
    <x v="0"/>
    <s v="C44366"/>
    <x v="5"/>
    <n v="2"/>
    <n v="388.22"/>
    <s v="169 Main St"/>
    <x v="4"/>
    <x v="3"/>
    <s v="TRK48658394"/>
    <n v="2"/>
    <s v="WINTER15"/>
    <s v="Instagram"/>
    <x v="697"/>
    <s v="Normal"/>
  </r>
  <r>
    <x v="699"/>
    <x v="497"/>
    <s v="C36813"/>
    <x v="5"/>
    <n v="3"/>
    <n v="614.15"/>
    <s v="897 Main St"/>
    <x v="3"/>
    <x v="1"/>
    <s v="TRK84088900"/>
    <n v="3"/>
    <s v="No Coupon"/>
    <s v="Facebook"/>
    <x v="698"/>
    <s v="Normal"/>
  </r>
  <r>
    <x v="700"/>
    <x v="498"/>
    <s v="C40201"/>
    <x v="5"/>
    <n v="2"/>
    <n v="92.91"/>
    <s v="555 Main St"/>
    <x v="4"/>
    <x v="2"/>
    <s v="TRK30198779"/>
    <n v="3"/>
    <s v="WINTER15"/>
    <s v="Instagram"/>
    <x v="699"/>
    <s v="Normal"/>
  </r>
  <r>
    <x v="701"/>
    <x v="499"/>
    <s v="C75456"/>
    <x v="0"/>
    <n v="3"/>
    <n v="92.22"/>
    <s v="115 Main St"/>
    <x v="2"/>
    <x v="3"/>
    <s v="TRK90519490"/>
    <n v="5"/>
    <s v="FREESHIP"/>
    <s v="Email"/>
    <x v="700"/>
    <s v="Normal"/>
  </r>
  <r>
    <x v="702"/>
    <x v="410"/>
    <s v="C33315"/>
    <x v="4"/>
    <n v="3"/>
    <n v="562.54999999999995"/>
    <s v="154 Main St"/>
    <x v="0"/>
    <x v="2"/>
    <s v="TRK43589369"/>
    <n v="6"/>
    <s v="No Coupon"/>
    <s v="Email"/>
    <x v="701"/>
    <s v="Normal"/>
  </r>
  <r>
    <x v="703"/>
    <x v="500"/>
    <s v="C89336"/>
    <x v="6"/>
    <n v="1"/>
    <n v="92.79"/>
    <s v="799 Main St"/>
    <x v="4"/>
    <x v="4"/>
    <s v="TRK47665103"/>
    <n v="3"/>
    <s v="WINTER15"/>
    <s v="Email"/>
    <x v="702"/>
    <s v="Normal"/>
  </r>
  <r>
    <x v="704"/>
    <x v="301"/>
    <s v="C96034"/>
    <x v="6"/>
    <n v="4"/>
    <n v="30.27"/>
    <s v="819 Main St"/>
    <x v="1"/>
    <x v="3"/>
    <s v="TRK87261034"/>
    <n v="9"/>
    <s v="FREESHIP"/>
    <s v="Google"/>
    <x v="703"/>
    <s v="Normal"/>
  </r>
  <r>
    <x v="705"/>
    <x v="501"/>
    <s v="C50114"/>
    <x v="0"/>
    <n v="2"/>
    <n v="49.08"/>
    <s v="420 Main St"/>
    <x v="0"/>
    <x v="2"/>
    <s v="TRK20214786"/>
    <n v="7"/>
    <s v="FREESHIP"/>
    <s v="Instagram"/>
    <x v="704"/>
    <s v="Normal"/>
  </r>
  <r>
    <x v="706"/>
    <x v="380"/>
    <s v="C85330"/>
    <x v="6"/>
    <n v="5"/>
    <n v="228.09"/>
    <s v="969 Main St"/>
    <x v="3"/>
    <x v="2"/>
    <s v="TRK97693301"/>
    <n v="9"/>
    <s v="FREESHIP"/>
    <s v="Facebook"/>
    <x v="705"/>
    <s v="Normal"/>
  </r>
  <r>
    <x v="707"/>
    <x v="377"/>
    <s v="C31761"/>
    <x v="3"/>
    <n v="4"/>
    <n v="650.04"/>
    <s v="989 Main St"/>
    <x v="3"/>
    <x v="1"/>
    <s v="TRK17628852"/>
    <n v="6"/>
    <s v="SAVE10"/>
    <s v="Facebook"/>
    <x v="706"/>
    <s v="Normal"/>
  </r>
  <r>
    <x v="708"/>
    <x v="155"/>
    <s v="C25268"/>
    <x v="4"/>
    <n v="1"/>
    <n v="665.11"/>
    <s v="788 Main St"/>
    <x v="4"/>
    <x v="4"/>
    <s v="TRK20481215"/>
    <n v="3"/>
    <s v="FREESHIP"/>
    <s v="Instagram"/>
    <x v="707"/>
    <s v="Normal"/>
  </r>
  <r>
    <x v="709"/>
    <x v="34"/>
    <s v="C17132"/>
    <x v="6"/>
    <n v="1"/>
    <n v="386.03"/>
    <s v="855 Main St"/>
    <x v="1"/>
    <x v="4"/>
    <s v="TRK37504692"/>
    <n v="4"/>
    <s v="FREESHIP"/>
    <s v="Google"/>
    <x v="708"/>
    <s v="Normal"/>
  </r>
  <r>
    <x v="710"/>
    <x v="319"/>
    <s v="C48790"/>
    <x v="5"/>
    <n v="5"/>
    <n v="21.54"/>
    <s v="113 Main St"/>
    <x v="3"/>
    <x v="2"/>
    <s v="TRK19086608"/>
    <n v="10"/>
    <s v="No Coupon"/>
    <s v="Google"/>
    <x v="709"/>
    <s v="Normal"/>
  </r>
  <r>
    <x v="711"/>
    <x v="502"/>
    <s v="C61070"/>
    <x v="2"/>
    <n v="2"/>
    <n v="475.78"/>
    <s v="632 Main St"/>
    <x v="1"/>
    <x v="0"/>
    <s v="TRK90764894"/>
    <n v="2"/>
    <s v="WINTER15"/>
    <s v="Google"/>
    <x v="710"/>
    <s v="Normal"/>
  </r>
  <r>
    <x v="712"/>
    <x v="486"/>
    <s v="C56969"/>
    <x v="2"/>
    <n v="2"/>
    <n v="68.400000000000006"/>
    <s v="993 Main St"/>
    <x v="3"/>
    <x v="4"/>
    <s v="TRK10513339"/>
    <n v="7"/>
    <s v="FREESHIP"/>
    <s v="Email"/>
    <x v="711"/>
    <s v="Normal"/>
  </r>
  <r>
    <x v="713"/>
    <x v="370"/>
    <s v="C65056"/>
    <x v="2"/>
    <n v="4"/>
    <n v="532.49"/>
    <s v="638 Main St"/>
    <x v="1"/>
    <x v="1"/>
    <s v="TRK31705278"/>
    <n v="6"/>
    <s v="SAVE10"/>
    <s v="Facebook"/>
    <x v="712"/>
    <s v="Normal"/>
  </r>
  <r>
    <x v="714"/>
    <x v="453"/>
    <s v="C84888"/>
    <x v="5"/>
    <n v="1"/>
    <n v="51.73"/>
    <s v="278 Main St"/>
    <x v="0"/>
    <x v="4"/>
    <s v="TRK23612847"/>
    <n v="1"/>
    <s v="FREESHIP"/>
    <s v="Facebook"/>
    <x v="713"/>
    <s v="Normal"/>
  </r>
  <r>
    <x v="715"/>
    <x v="503"/>
    <s v="C68266"/>
    <x v="4"/>
    <n v="3"/>
    <n v="653.63"/>
    <s v="281 Main St"/>
    <x v="1"/>
    <x v="3"/>
    <s v="TRK96161062"/>
    <n v="7"/>
    <s v="FREESHIP"/>
    <s v="Email"/>
    <x v="714"/>
    <s v="Normal"/>
  </r>
  <r>
    <x v="716"/>
    <x v="136"/>
    <s v="C84115"/>
    <x v="3"/>
    <n v="3"/>
    <n v="454.29"/>
    <s v="891 Main St"/>
    <x v="2"/>
    <x v="4"/>
    <s v="TRK25466842"/>
    <n v="4"/>
    <s v="WINTER15"/>
    <s v="Google"/>
    <x v="715"/>
    <s v="Normal"/>
  </r>
  <r>
    <x v="717"/>
    <x v="504"/>
    <s v="C50087"/>
    <x v="3"/>
    <n v="3"/>
    <n v="122.11"/>
    <s v="707 Main St"/>
    <x v="1"/>
    <x v="3"/>
    <s v="TRK31143760"/>
    <n v="4"/>
    <s v="WINTER15"/>
    <s v="Email"/>
    <x v="716"/>
    <s v="Normal"/>
  </r>
  <r>
    <x v="718"/>
    <x v="505"/>
    <s v="C16790"/>
    <x v="5"/>
    <n v="4"/>
    <n v="64.739999999999995"/>
    <s v="718 Main St"/>
    <x v="3"/>
    <x v="1"/>
    <s v="TRK91791367"/>
    <n v="8"/>
    <s v="SAVE10"/>
    <s v="Google"/>
    <x v="717"/>
    <s v="Normal"/>
  </r>
  <r>
    <x v="719"/>
    <x v="506"/>
    <s v="C46920"/>
    <x v="5"/>
    <n v="2"/>
    <n v="681.06"/>
    <s v="703 Main St"/>
    <x v="0"/>
    <x v="0"/>
    <s v="TRK86403837"/>
    <n v="3"/>
    <s v="FREESHIP"/>
    <s v="Facebook"/>
    <x v="718"/>
    <s v="Normal"/>
  </r>
  <r>
    <x v="720"/>
    <x v="507"/>
    <s v="C12740"/>
    <x v="6"/>
    <n v="5"/>
    <n v="128.94999999999999"/>
    <s v="305 Main St"/>
    <x v="4"/>
    <x v="4"/>
    <s v="TRK98506513"/>
    <n v="10"/>
    <s v="FREESHIP"/>
    <s v="Instagram"/>
    <x v="719"/>
    <s v="Normal"/>
  </r>
  <r>
    <x v="721"/>
    <x v="508"/>
    <s v="C46557"/>
    <x v="6"/>
    <n v="2"/>
    <n v="118.59"/>
    <s v="890 Main St"/>
    <x v="2"/>
    <x v="3"/>
    <s v="TRK56110689"/>
    <n v="2"/>
    <s v="No Coupon"/>
    <s v="Email"/>
    <x v="720"/>
    <s v="Normal"/>
  </r>
  <r>
    <x v="722"/>
    <x v="64"/>
    <s v="C58156"/>
    <x v="4"/>
    <n v="1"/>
    <n v="95.1"/>
    <s v="516 Main St"/>
    <x v="3"/>
    <x v="4"/>
    <s v="TRK49719458"/>
    <n v="1"/>
    <s v="WINTER15"/>
    <s v="Instagram"/>
    <x v="721"/>
    <s v="Normal"/>
  </r>
  <r>
    <x v="723"/>
    <x v="509"/>
    <s v="C14455"/>
    <x v="6"/>
    <n v="3"/>
    <n v="54.95"/>
    <s v="385 Main St"/>
    <x v="4"/>
    <x v="2"/>
    <s v="TRK50933724"/>
    <n v="8"/>
    <s v="SAVE10"/>
    <s v="Referral"/>
    <x v="722"/>
    <s v="Normal"/>
  </r>
  <r>
    <x v="724"/>
    <x v="266"/>
    <s v="C63150"/>
    <x v="4"/>
    <n v="3"/>
    <n v="136.97"/>
    <s v="326 Main St"/>
    <x v="2"/>
    <x v="2"/>
    <s v="TRK19348078"/>
    <n v="4"/>
    <s v="FREESHIP"/>
    <s v="Referral"/>
    <x v="723"/>
    <s v="Normal"/>
  </r>
  <r>
    <x v="725"/>
    <x v="255"/>
    <s v="C95269"/>
    <x v="3"/>
    <n v="2"/>
    <n v="194.85"/>
    <s v="372 Main St"/>
    <x v="3"/>
    <x v="2"/>
    <s v="TRK45670926"/>
    <n v="5"/>
    <s v="No Coupon"/>
    <s v="Referral"/>
    <x v="724"/>
    <s v="Normal"/>
  </r>
  <r>
    <x v="726"/>
    <x v="510"/>
    <s v="C18105"/>
    <x v="5"/>
    <n v="4"/>
    <n v="583.02"/>
    <s v="338 Main St"/>
    <x v="1"/>
    <x v="3"/>
    <s v="TRK94006117"/>
    <n v="4"/>
    <s v="FREESHIP"/>
    <s v="Facebook"/>
    <x v="725"/>
    <s v="Normal"/>
  </r>
  <r>
    <x v="727"/>
    <x v="470"/>
    <s v="C29063"/>
    <x v="3"/>
    <n v="5"/>
    <n v="95.75"/>
    <s v="379 Main St"/>
    <x v="1"/>
    <x v="0"/>
    <s v="TRK92745947"/>
    <n v="8"/>
    <s v="SAVE10"/>
    <s v="Instagram"/>
    <x v="726"/>
    <s v="Normal"/>
  </r>
  <r>
    <x v="728"/>
    <x v="511"/>
    <s v="C10154"/>
    <x v="6"/>
    <n v="4"/>
    <n v="325.76"/>
    <s v="827 Main St"/>
    <x v="3"/>
    <x v="0"/>
    <s v="TRK79793300"/>
    <n v="8"/>
    <s v="WINTER15"/>
    <s v="Email"/>
    <x v="727"/>
    <s v="Normal"/>
  </r>
  <r>
    <x v="729"/>
    <x v="102"/>
    <s v="C36997"/>
    <x v="1"/>
    <n v="4"/>
    <n v="186.41"/>
    <s v="819 Main St"/>
    <x v="3"/>
    <x v="4"/>
    <s v="TRK92794872"/>
    <n v="6"/>
    <s v="SAVE10"/>
    <s v="Google"/>
    <x v="728"/>
    <s v="Normal"/>
  </r>
  <r>
    <x v="730"/>
    <x v="512"/>
    <s v="C77357"/>
    <x v="1"/>
    <n v="1"/>
    <n v="474.6"/>
    <s v="407 Main St"/>
    <x v="0"/>
    <x v="3"/>
    <s v="TRK91943923"/>
    <n v="4"/>
    <s v="SAVE10"/>
    <s v="Email"/>
    <x v="729"/>
    <s v="Normal"/>
  </r>
  <r>
    <x v="731"/>
    <x v="267"/>
    <s v="C71310"/>
    <x v="4"/>
    <n v="5"/>
    <n v="584.46"/>
    <s v="308 Main St"/>
    <x v="2"/>
    <x v="2"/>
    <s v="TRK48292586"/>
    <n v="8"/>
    <s v="No Coupon"/>
    <s v="Email"/>
    <x v="730"/>
    <s v="Normal"/>
  </r>
  <r>
    <x v="732"/>
    <x v="456"/>
    <s v="C80987"/>
    <x v="5"/>
    <n v="1"/>
    <n v="132.05000000000001"/>
    <s v="787 Main St"/>
    <x v="1"/>
    <x v="3"/>
    <s v="TRK42187776"/>
    <n v="2"/>
    <s v="No Coupon"/>
    <s v="Google"/>
    <x v="731"/>
    <s v="Normal"/>
  </r>
  <r>
    <x v="733"/>
    <x v="513"/>
    <s v="C90757"/>
    <x v="2"/>
    <n v="4"/>
    <n v="494.84"/>
    <s v="694 Main St"/>
    <x v="4"/>
    <x v="2"/>
    <s v="TRK87991608"/>
    <n v="8"/>
    <s v="SAVE10"/>
    <s v="Email"/>
    <x v="732"/>
    <s v="Normal"/>
  </r>
  <r>
    <x v="734"/>
    <x v="514"/>
    <s v="C51898"/>
    <x v="4"/>
    <n v="4"/>
    <n v="224.61"/>
    <s v="630 Main St"/>
    <x v="2"/>
    <x v="2"/>
    <s v="TRK19767885"/>
    <n v="6"/>
    <s v="WINTER15"/>
    <s v="Facebook"/>
    <x v="733"/>
    <s v="Normal"/>
  </r>
  <r>
    <x v="735"/>
    <x v="515"/>
    <s v="C94508"/>
    <x v="0"/>
    <n v="4"/>
    <n v="44.07"/>
    <s v="359 Main St"/>
    <x v="0"/>
    <x v="4"/>
    <s v="TRK13443264"/>
    <n v="6"/>
    <s v="No Coupon"/>
    <s v="Email"/>
    <x v="734"/>
    <s v="Normal"/>
  </r>
  <r>
    <x v="736"/>
    <x v="516"/>
    <s v="C59441"/>
    <x v="0"/>
    <n v="5"/>
    <n v="418.53"/>
    <s v="696 Main St"/>
    <x v="2"/>
    <x v="4"/>
    <s v="TRK66186874"/>
    <n v="6"/>
    <s v="FREESHIP"/>
    <s v="Google"/>
    <x v="735"/>
    <s v="Normal"/>
  </r>
  <r>
    <x v="737"/>
    <x v="517"/>
    <s v="C91029"/>
    <x v="1"/>
    <n v="4"/>
    <n v="532.87"/>
    <s v="972 Main St"/>
    <x v="4"/>
    <x v="4"/>
    <s v="TRK25501930"/>
    <n v="9"/>
    <s v="FREESHIP"/>
    <s v="Instagram"/>
    <x v="736"/>
    <s v="Normal"/>
  </r>
  <r>
    <x v="738"/>
    <x v="518"/>
    <s v="C96261"/>
    <x v="1"/>
    <n v="2"/>
    <n v="485.37"/>
    <s v="264 Main St"/>
    <x v="2"/>
    <x v="0"/>
    <s v="TRK44998396"/>
    <n v="5"/>
    <s v="SAVE10"/>
    <s v="Email"/>
    <x v="737"/>
    <s v="Normal"/>
  </r>
  <r>
    <x v="739"/>
    <x v="136"/>
    <s v="C35123"/>
    <x v="1"/>
    <n v="4"/>
    <n v="386.73"/>
    <s v="513 Main St"/>
    <x v="4"/>
    <x v="3"/>
    <s v="TRK58979275"/>
    <n v="4"/>
    <s v="SAVE10"/>
    <s v="Facebook"/>
    <x v="738"/>
    <s v="Normal"/>
  </r>
  <r>
    <x v="740"/>
    <x v="351"/>
    <s v="C10892"/>
    <x v="6"/>
    <n v="2"/>
    <n v="377.47"/>
    <s v="433 Main St"/>
    <x v="4"/>
    <x v="4"/>
    <s v="TRK76154554"/>
    <n v="7"/>
    <s v="No Coupon"/>
    <s v="Google"/>
    <x v="739"/>
    <s v="Normal"/>
  </r>
  <r>
    <x v="741"/>
    <x v="185"/>
    <s v="C99683"/>
    <x v="0"/>
    <n v="5"/>
    <n v="332.64"/>
    <s v="945 Main St"/>
    <x v="3"/>
    <x v="3"/>
    <s v="TRK87305883"/>
    <n v="10"/>
    <s v="No Coupon"/>
    <s v="Referral"/>
    <x v="740"/>
    <s v="Normal"/>
  </r>
  <r>
    <x v="742"/>
    <x v="519"/>
    <s v="C41974"/>
    <x v="5"/>
    <n v="3"/>
    <n v="699.93"/>
    <s v="726 Main St"/>
    <x v="4"/>
    <x v="2"/>
    <s v="TRK48051468"/>
    <n v="7"/>
    <s v="SAVE10"/>
    <s v="Google"/>
    <x v="741"/>
    <s v="Normal"/>
  </r>
  <r>
    <x v="743"/>
    <x v="430"/>
    <s v="C23978"/>
    <x v="0"/>
    <n v="1"/>
    <n v="576.35"/>
    <s v="549 Main St"/>
    <x v="3"/>
    <x v="2"/>
    <s v="TRK87090813"/>
    <n v="1"/>
    <s v="WINTER15"/>
    <s v="Instagram"/>
    <x v="742"/>
    <s v="Normal"/>
  </r>
  <r>
    <x v="744"/>
    <x v="520"/>
    <s v="C10642"/>
    <x v="2"/>
    <n v="2"/>
    <n v="461.37"/>
    <s v="200 Main St"/>
    <x v="4"/>
    <x v="3"/>
    <s v="TRK98725693"/>
    <n v="5"/>
    <s v="SAVE10"/>
    <s v="Google"/>
    <x v="743"/>
    <s v="Normal"/>
  </r>
  <r>
    <x v="745"/>
    <x v="521"/>
    <s v="C73813"/>
    <x v="4"/>
    <n v="4"/>
    <n v="111.3"/>
    <s v="364 Main St"/>
    <x v="0"/>
    <x v="4"/>
    <s v="TRK89906749"/>
    <n v="7"/>
    <s v="FREESHIP"/>
    <s v="Email"/>
    <x v="744"/>
    <s v="Normal"/>
  </r>
  <r>
    <x v="746"/>
    <x v="522"/>
    <s v="C32183"/>
    <x v="6"/>
    <n v="3"/>
    <n v="661.89"/>
    <s v="551 Main St"/>
    <x v="1"/>
    <x v="1"/>
    <s v="TRK76287027"/>
    <n v="6"/>
    <s v="WINTER15"/>
    <s v="Referral"/>
    <x v="745"/>
    <s v="Normal"/>
  </r>
  <r>
    <x v="747"/>
    <x v="495"/>
    <s v="C54277"/>
    <x v="2"/>
    <n v="2"/>
    <n v="259.58"/>
    <s v="940 Main St"/>
    <x v="0"/>
    <x v="3"/>
    <s v="TRK26500181"/>
    <n v="7"/>
    <s v="FREESHIP"/>
    <s v="Instagram"/>
    <x v="746"/>
    <s v="Normal"/>
  </r>
  <r>
    <x v="748"/>
    <x v="523"/>
    <s v="C56553"/>
    <x v="2"/>
    <n v="3"/>
    <n v="70.81"/>
    <s v="249 Main St"/>
    <x v="2"/>
    <x v="0"/>
    <s v="TRK37667360"/>
    <n v="8"/>
    <s v="FREESHIP"/>
    <s v="Referral"/>
    <x v="747"/>
    <s v="Normal"/>
  </r>
  <r>
    <x v="749"/>
    <x v="524"/>
    <s v="C17551"/>
    <x v="5"/>
    <n v="1"/>
    <n v="518.39"/>
    <s v="997 Main St"/>
    <x v="0"/>
    <x v="4"/>
    <s v="TRK88797170"/>
    <n v="4"/>
    <s v="FREESHIP"/>
    <s v="Instagram"/>
    <x v="748"/>
    <s v="Normal"/>
  </r>
  <r>
    <x v="750"/>
    <x v="90"/>
    <s v="C14737"/>
    <x v="2"/>
    <n v="4"/>
    <n v="145.41"/>
    <s v="637 Main St"/>
    <x v="2"/>
    <x v="2"/>
    <s v="TRK10295115"/>
    <n v="7"/>
    <s v="FREESHIP"/>
    <s v="Email"/>
    <x v="749"/>
    <s v="Normal"/>
  </r>
  <r>
    <x v="751"/>
    <x v="16"/>
    <s v="C35168"/>
    <x v="2"/>
    <n v="2"/>
    <n v="599.86"/>
    <s v="455 Main St"/>
    <x v="3"/>
    <x v="4"/>
    <s v="TRK76960854"/>
    <n v="7"/>
    <s v="FREESHIP"/>
    <s v="Facebook"/>
    <x v="750"/>
    <s v="Normal"/>
  </r>
  <r>
    <x v="752"/>
    <x v="525"/>
    <s v="C82217"/>
    <x v="1"/>
    <n v="4"/>
    <n v="429.37"/>
    <s v="299 Main St"/>
    <x v="2"/>
    <x v="3"/>
    <s v="TRK33305694"/>
    <n v="8"/>
    <s v="FREESHIP"/>
    <s v="Google"/>
    <x v="751"/>
    <s v="Normal"/>
  </r>
  <r>
    <x v="753"/>
    <x v="526"/>
    <s v="C42270"/>
    <x v="1"/>
    <n v="2"/>
    <n v="241.49"/>
    <s v="864 Main St"/>
    <x v="0"/>
    <x v="2"/>
    <s v="TRK72697796"/>
    <n v="7"/>
    <s v="FREESHIP"/>
    <s v="Instagram"/>
    <x v="752"/>
    <s v="Normal"/>
  </r>
  <r>
    <x v="754"/>
    <x v="133"/>
    <s v="C48846"/>
    <x v="4"/>
    <n v="2"/>
    <n v="452.05"/>
    <s v="983 Main St"/>
    <x v="2"/>
    <x v="2"/>
    <s v="TRK52804097"/>
    <n v="3"/>
    <s v="WINTER15"/>
    <s v="Email"/>
    <x v="753"/>
    <s v="Normal"/>
  </r>
  <r>
    <x v="755"/>
    <x v="527"/>
    <s v="C54160"/>
    <x v="6"/>
    <n v="3"/>
    <n v="336.71"/>
    <s v="658 Main St"/>
    <x v="2"/>
    <x v="4"/>
    <s v="TRK60515972"/>
    <n v="4"/>
    <s v="No Coupon"/>
    <s v="Email"/>
    <x v="754"/>
    <s v="Normal"/>
  </r>
  <r>
    <x v="756"/>
    <x v="326"/>
    <s v="C14080"/>
    <x v="1"/>
    <n v="1"/>
    <n v="283.69"/>
    <s v="202 Main St"/>
    <x v="3"/>
    <x v="0"/>
    <s v="TRK93163682"/>
    <n v="6"/>
    <s v="No Coupon"/>
    <s v="Google"/>
    <x v="755"/>
    <s v="Normal"/>
  </r>
  <r>
    <x v="757"/>
    <x v="27"/>
    <s v="C81074"/>
    <x v="6"/>
    <n v="1"/>
    <n v="157.72"/>
    <s v="597 Main St"/>
    <x v="0"/>
    <x v="3"/>
    <s v="TRK91105190"/>
    <n v="2"/>
    <s v="FREESHIP"/>
    <s v="Google"/>
    <x v="756"/>
    <s v="Normal"/>
  </r>
  <r>
    <x v="758"/>
    <x v="465"/>
    <s v="C69021"/>
    <x v="2"/>
    <n v="3"/>
    <n v="624.84"/>
    <s v="917 Main St"/>
    <x v="2"/>
    <x v="1"/>
    <s v="TRK57148510"/>
    <n v="8"/>
    <s v="WINTER15"/>
    <s v="Facebook"/>
    <x v="757"/>
    <s v="Normal"/>
  </r>
  <r>
    <x v="759"/>
    <x v="528"/>
    <s v="C96283"/>
    <x v="6"/>
    <n v="3"/>
    <n v="308.01"/>
    <s v="366 Main St"/>
    <x v="4"/>
    <x v="4"/>
    <s v="TRK91784124"/>
    <n v="3"/>
    <s v="FREESHIP"/>
    <s v="Facebook"/>
    <x v="758"/>
    <s v="Normal"/>
  </r>
  <r>
    <x v="760"/>
    <x v="403"/>
    <s v="C96636"/>
    <x v="6"/>
    <n v="1"/>
    <n v="39.56"/>
    <s v="283 Main St"/>
    <x v="0"/>
    <x v="1"/>
    <s v="TRK73324346"/>
    <n v="5"/>
    <s v="No Coupon"/>
    <s v="Google"/>
    <x v="759"/>
    <s v="Normal"/>
  </r>
  <r>
    <x v="761"/>
    <x v="454"/>
    <s v="C37235"/>
    <x v="6"/>
    <n v="4"/>
    <n v="37.76"/>
    <s v="217 Main St"/>
    <x v="0"/>
    <x v="3"/>
    <s v="TRK67789367"/>
    <n v="7"/>
    <s v="No Coupon"/>
    <s v="Google"/>
    <x v="760"/>
    <s v="Normal"/>
  </r>
  <r>
    <x v="762"/>
    <x v="529"/>
    <s v="C12444"/>
    <x v="1"/>
    <n v="3"/>
    <n v="76.959999999999994"/>
    <s v="611 Main St"/>
    <x v="4"/>
    <x v="2"/>
    <s v="TRK97621403"/>
    <n v="8"/>
    <s v="FREESHIP"/>
    <s v="Email"/>
    <x v="761"/>
    <s v="Normal"/>
  </r>
  <r>
    <x v="763"/>
    <x v="388"/>
    <s v="C79142"/>
    <x v="5"/>
    <n v="1"/>
    <n v="569.96"/>
    <s v="533 Main St"/>
    <x v="1"/>
    <x v="3"/>
    <s v="TRK30915955"/>
    <n v="4"/>
    <s v="FREESHIP"/>
    <s v="Email"/>
    <x v="762"/>
    <s v="Normal"/>
  </r>
  <r>
    <x v="764"/>
    <x v="416"/>
    <s v="C35983"/>
    <x v="5"/>
    <n v="5"/>
    <n v="627.42999999999995"/>
    <s v="806 Main St"/>
    <x v="2"/>
    <x v="1"/>
    <s v="TRK14016163"/>
    <n v="10"/>
    <s v="FREESHIP"/>
    <s v="Email"/>
    <x v="763"/>
    <s v="Normal"/>
  </r>
  <r>
    <x v="765"/>
    <x v="426"/>
    <s v="C36150"/>
    <x v="5"/>
    <n v="2"/>
    <n v="534.91"/>
    <s v="281 Main St"/>
    <x v="0"/>
    <x v="2"/>
    <s v="TRK96249043"/>
    <n v="5"/>
    <s v="SAVE10"/>
    <s v="Google"/>
    <x v="764"/>
    <s v="Normal"/>
  </r>
  <r>
    <x v="766"/>
    <x v="55"/>
    <s v="C91454"/>
    <x v="4"/>
    <n v="2"/>
    <n v="278.88"/>
    <s v="494 Main St"/>
    <x v="0"/>
    <x v="4"/>
    <s v="TRK99985340"/>
    <n v="3"/>
    <s v="FREESHIP"/>
    <s v="Referral"/>
    <x v="765"/>
    <s v="Normal"/>
  </r>
  <r>
    <x v="767"/>
    <x v="479"/>
    <s v="C19368"/>
    <x v="2"/>
    <n v="2"/>
    <n v="323.22000000000003"/>
    <s v="517 Main St"/>
    <x v="2"/>
    <x v="3"/>
    <s v="TRK80436037"/>
    <n v="7"/>
    <s v="No Coupon"/>
    <s v="Instagram"/>
    <x v="766"/>
    <s v="Normal"/>
  </r>
  <r>
    <x v="768"/>
    <x v="355"/>
    <s v="C35987"/>
    <x v="2"/>
    <n v="5"/>
    <n v="653.46"/>
    <s v="165 Main St"/>
    <x v="4"/>
    <x v="1"/>
    <s v="TRK28918815"/>
    <n v="9"/>
    <s v="WINTER15"/>
    <s v="Email"/>
    <x v="767"/>
    <s v="Normal"/>
  </r>
  <r>
    <x v="769"/>
    <x v="117"/>
    <s v="C13366"/>
    <x v="4"/>
    <n v="4"/>
    <n v="678.55"/>
    <s v="568 Main St"/>
    <x v="4"/>
    <x v="3"/>
    <s v="TRK98691410"/>
    <n v="5"/>
    <s v="No Coupon"/>
    <s v="Email"/>
    <x v="768"/>
    <s v="Normal"/>
  </r>
  <r>
    <x v="770"/>
    <x v="530"/>
    <s v="C72166"/>
    <x v="6"/>
    <n v="1"/>
    <n v="314.38"/>
    <s v="227 Main St"/>
    <x v="1"/>
    <x v="2"/>
    <s v="TRK67733444"/>
    <n v="6"/>
    <s v="No Coupon"/>
    <s v="Google"/>
    <x v="769"/>
    <s v="Normal"/>
  </r>
  <r>
    <x v="771"/>
    <x v="520"/>
    <s v="C20357"/>
    <x v="1"/>
    <n v="3"/>
    <n v="692.44"/>
    <s v="272 Main St"/>
    <x v="0"/>
    <x v="1"/>
    <s v="TRK82236408"/>
    <n v="8"/>
    <s v="FREESHIP"/>
    <s v="Google"/>
    <x v="770"/>
    <s v="Normal"/>
  </r>
  <r>
    <x v="772"/>
    <x v="118"/>
    <s v="C33802"/>
    <x v="0"/>
    <n v="1"/>
    <n v="604.87"/>
    <s v="461 Main St"/>
    <x v="1"/>
    <x v="3"/>
    <s v="TRK25799478"/>
    <n v="4"/>
    <s v="No Coupon"/>
    <s v="Instagram"/>
    <x v="771"/>
    <s v="Normal"/>
  </r>
  <r>
    <x v="773"/>
    <x v="164"/>
    <s v="C99205"/>
    <x v="1"/>
    <n v="2"/>
    <n v="512.33000000000004"/>
    <s v="415 Main St"/>
    <x v="4"/>
    <x v="1"/>
    <s v="TRK48904015"/>
    <n v="7"/>
    <s v="No Coupon"/>
    <s v="Facebook"/>
    <x v="772"/>
    <s v="Normal"/>
  </r>
  <r>
    <x v="774"/>
    <x v="198"/>
    <s v="C29701"/>
    <x v="3"/>
    <n v="3"/>
    <n v="20.54"/>
    <s v="257 Main St"/>
    <x v="2"/>
    <x v="1"/>
    <s v="TRK42266846"/>
    <n v="3"/>
    <s v="FREESHIP"/>
    <s v="Instagram"/>
    <x v="773"/>
    <s v="Normal"/>
  </r>
  <r>
    <x v="775"/>
    <x v="190"/>
    <s v="C73941"/>
    <x v="1"/>
    <n v="2"/>
    <n v="625.22"/>
    <s v="569 Main St"/>
    <x v="1"/>
    <x v="1"/>
    <s v="TRK22051900"/>
    <n v="5"/>
    <s v="No Coupon"/>
    <s v="Google"/>
    <x v="774"/>
    <s v="Normal"/>
  </r>
  <r>
    <x v="776"/>
    <x v="531"/>
    <s v="C69168"/>
    <x v="2"/>
    <n v="1"/>
    <n v="21.19"/>
    <s v="482 Main St"/>
    <x v="4"/>
    <x v="2"/>
    <s v="TRK10446197"/>
    <n v="5"/>
    <s v="WINTER15"/>
    <s v="Google"/>
    <x v="775"/>
    <s v="Normal"/>
  </r>
  <r>
    <x v="777"/>
    <x v="438"/>
    <s v="C66116"/>
    <x v="3"/>
    <n v="5"/>
    <n v="64.489999999999995"/>
    <s v="633 Main St"/>
    <x v="1"/>
    <x v="1"/>
    <s v="TRK41967983"/>
    <n v="7"/>
    <s v="No Coupon"/>
    <s v="Facebook"/>
    <x v="776"/>
    <s v="Normal"/>
  </r>
  <r>
    <x v="778"/>
    <x v="200"/>
    <s v="C85059"/>
    <x v="5"/>
    <n v="4"/>
    <n v="246.85"/>
    <s v="316 Main St"/>
    <x v="2"/>
    <x v="0"/>
    <s v="TRK56503740"/>
    <n v="8"/>
    <s v="WINTER15"/>
    <s v="Google"/>
    <x v="777"/>
    <s v="Normal"/>
  </r>
  <r>
    <x v="779"/>
    <x v="142"/>
    <s v="C18076"/>
    <x v="1"/>
    <n v="3"/>
    <n v="588.74"/>
    <s v="751 Main St"/>
    <x v="0"/>
    <x v="4"/>
    <s v="TRK26661705"/>
    <n v="8"/>
    <s v="FREESHIP"/>
    <s v="Email"/>
    <x v="778"/>
    <s v="Normal"/>
  </r>
  <r>
    <x v="780"/>
    <x v="74"/>
    <s v="C41284"/>
    <x v="5"/>
    <n v="4"/>
    <n v="184.48"/>
    <s v="661 Main St"/>
    <x v="1"/>
    <x v="1"/>
    <s v="TRK73613128"/>
    <n v="4"/>
    <s v="WINTER15"/>
    <s v="Google"/>
    <x v="779"/>
    <s v="Normal"/>
  </r>
  <r>
    <x v="781"/>
    <x v="532"/>
    <s v="C43524"/>
    <x v="1"/>
    <n v="5"/>
    <n v="524.26"/>
    <s v="934 Main St"/>
    <x v="3"/>
    <x v="3"/>
    <s v="TRK51479426"/>
    <n v="5"/>
    <s v="FREESHIP"/>
    <s v="Referral"/>
    <x v="780"/>
    <s v="Normal"/>
  </r>
  <r>
    <x v="782"/>
    <x v="533"/>
    <s v="C58063"/>
    <x v="0"/>
    <n v="2"/>
    <n v="493.63"/>
    <s v="167 Main St"/>
    <x v="1"/>
    <x v="2"/>
    <s v="TRK50548869"/>
    <n v="6"/>
    <s v="SAVE10"/>
    <s v="Referral"/>
    <x v="781"/>
    <s v="Normal"/>
  </r>
  <r>
    <x v="783"/>
    <x v="534"/>
    <s v="C19937"/>
    <x v="4"/>
    <n v="1"/>
    <n v="438.34"/>
    <s v="281 Main St"/>
    <x v="3"/>
    <x v="2"/>
    <s v="TRK46990083"/>
    <n v="5"/>
    <s v="FREESHIP"/>
    <s v="Facebook"/>
    <x v="782"/>
    <s v="Normal"/>
  </r>
  <r>
    <x v="784"/>
    <x v="535"/>
    <s v="C21191"/>
    <x v="5"/>
    <n v="1"/>
    <n v="325.81"/>
    <s v="232 Main St"/>
    <x v="2"/>
    <x v="4"/>
    <s v="TRK85771230"/>
    <n v="1"/>
    <s v="WINTER15"/>
    <s v="Referral"/>
    <x v="783"/>
    <s v="Normal"/>
  </r>
  <r>
    <x v="785"/>
    <x v="536"/>
    <s v="C45862"/>
    <x v="3"/>
    <n v="1"/>
    <n v="176.1"/>
    <s v="342 Main St"/>
    <x v="2"/>
    <x v="4"/>
    <s v="TRK53089983"/>
    <n v="1"/>
    <s v="SAVE10"/>
    <s v="Instagram"/>
    <x v="784"/>
    <s v="Normal"/>
  </r>
  <r>
    <x v="786"/>
    <x v="421"/>
    <s v="C39130"/>
    <x v="3"/>
    <n v="5"/>
    <n v="45.31"/>
    <s v="774 Main St"/>
    <x v="1"/>
    <x v="1"/>
    <s v="TRK99583414"/>
    <n v="8"/>
    <s v="No Coupon"/>
    <s v="Referral"/>
    <x v="785"/>
    <s v="Normal"/>
  </r>
  <r>
    <x v="787"/>
    <x v="537"/>
    <s v="C18167"/>
    <x v="6"/>
    <n v="4"/>
    <n v="221.96"/>
    <s v="193 Main St"/>
    <x v="4"/>
    <x v="3"/>
    <s v="TRK36841089"/>
    <n v="7"/>
    <s v="No Coupon"/>
    <s v="Google"/>
    <x v="786"/>
    <s v="Normal"/>
  </r>
  <r>
    <x v="788"/>
    <x v="208"/>
    <s v="C47307"/>
    <x v="3"/>
    <n v="2"/>
    <n v="601.42999999999995"/>
    <s v="761 Main St"/>
    <x v="1"/>
    <x v="4"/>
    <s v="TRK43516112"/>
    <n v="5"/>
    <s v="FREESHIP"/>
    <s v="Instagram"/>
    <x v="787"/>
    <s v="Normal"/>
  </r>
  <r>
    <x v="789"/>
    <x v="538"/>
    <s v="C57276"/>
    <x v="2"/>
    <n v="5"/>
    <n v="691.28"/>
    <s v="183 Main St"/>
    <x v="1"/>
    <x v="3"/>
    <s v="TRK75899752"/>
    <n v="10"/>
    <s v="SAVE10"/>
    <s v="Email"/>
    <x v="788"/>
    <s v="Outlier"/>
  </r>
  <r>
    <x v="790"/>
    <x v="154"/>
    <s v="C38928"/>
    <x v="5"/>
    <n v="4"/>
    <n v="417.89"/>
    <s v="302 Main St"/>
    <x v="3"/>
    <x v="4"/>
    <s v="TRK96636009"/>
    <n v="4"/>
    <s v="No Coupon"/>
    <s v="Google"/>
    <x v="789"/>
    <s v="Normal"/>
  </r>
  <r>
    <x v="791"/>
    <x v="539"/>
    <s v="C49710"/>
    <x v="3"/>
    <n v="4"/>
    <n v="409.28"/>
    <s v="956 Main St"/>
    <x v="4"/>
    <x v="4"/>
    <s v="TRK92591237"/>
    <n v="8"/>
    <s v="No Coupon"/>
    <s v="Email"/>
    <x v="790"/>
    <s v="Normal"/>
  </r>
  <r>
    <x v="792"/>
    <x v="379"/>
    <s v="C41709"/>
    <x v="6"/>
    <n v="2"/>
    <n v="356.35"/>
    <s v="746 Main St"/>
    <x v="0"/>
    <x v="2"/>
    <s v="TRK90995294"/>
    <n v="6"/>
    <s v="WINTER15"/>
    <s v="Facebook"/>
    <x v="791"/>
    <s v="Normal"/>
  </r>
  <r>
    <x v="793"/>
    <x v="116"/>
    <s v="C91255"/>
    <x v="3"/>
    <n v="5"/>
    <n v="170.22"/>
    <s v="769 Main St"/>
    <x v="0"/>
    <x v="3"/>
    <s v="TRK69599961"/>
    <n v="8"/>
    <s v="No Coupon"/>
    <s v="Referral"/>
    <x v="792"/>
    <s v="Normal"/>
  </r>
  <r>
    <x v="794"/>
    <x v="338"/>
    <s v="C76653"/>
    <x v="4"/>
    <n v="4"/>
    <n v="384.85"/>
    <s v="988 Main St"/>
    <x v="1"/>
    <x v="3"/>
    <s v="TRK77052196"/>
    <n v="9"/>
    <s v="FREESHIP"/>
    <s v="Instagram"/>
    <x v="793"/>
    <s v="Normal"/>
  </r>
  <r>
    <x v="795"/>
    <x v="540"/>
    <s v="C95667"/>
    <x v="5"/>
    <n v="4"/>
    <n v="115.77"/>
    <s v="586 Main St"/>
    <x v="1"/>
    <x v="4"/>
    <s v="TRK41266666"/>
    <n v="7"/>
    <s v="SAVE10"/>
    <s v="Instagram"/>
    <x v="794"/>
    <s v="Normal"/>
  </r>
  <r>
    <x v="796"/>
    <x v="541"/>
    <s v="C33313"/>
    <x v="1"/>
    <n v="3"/>
    <n v="579.54999999999995"/>
    <s v="882 Main St"/>
    <x v="3"/>
    <x v="2"/>
    <s v="TRK13349970"/>
    <n v="8"/>
    <s v="WINTER15"/>
    <s v="Facebook"/>
    <x v="795"/>
    <s v="Normal"/>
  </r>
  <r>
    <x v="797"/>
    <x v="146"/>
    <s v="C36825"/>
    <x v="5"/>
    <n v="2"/>
    <n v="438.76"/>
    <s v="426 Main St"/>
    <x v="0"/>
    <x v="2"/>
    <s v="TRK72557318"/>
    <n v="2"/>
    <s v="No Coupon"/>
    <s v="Facebook"/>
    <x v="796"/>
    <s v="Normal"/>
  </r>
  <r>
    <x v="798"/>
    <x v="542"/>
    <s v="C20861"/>
    <x v="1"/>
    <n v="5"/>
    <n v="488.35"/>
    <s v="968 Main St"/>
    <x v="0"/>
    <x v="2"/>
    <s v="TRK89372013"/>
    <n v="9"/>
    <s v="FREESHIP"/>
    <s v="Email"/>
    <x v="797"/>
    <s v="Normal"/>
  </r>
  <r>
    <x v="799"/>
    <x v="397"/>
    <s v="C26364"/>
    <x v="5"/>
    <n v="4"/>
    <n v="328.56"/>
    <s v="803 Main St"/>
    <x v="0"/>
    <x v="2"/>
    <s v="TRK78924436"/>
    <n v="4"/>
    <s v="FREESHIP"/>
    <s v="Email"/>
    <x v="798"/>
    <s v="Normal"/>
  </r>
  <r>
    <x v="800"/>
    <x v="210"/>
    <s v="C34686"/>
    <x v="2"/>
    <n v="1"/>
    <n v="68.39"/>
    <s v="412 Main St"/>
    <x v="1"/>
    <x v="2"/>
    <s v="TRK99468332"/>
    <n v="3"/>
    <s v="WINTER15"/>
    <s v="Facebook"/>
    <x v="799"/>
    <s v="Normal"/>
  </r>
  <r>
    <x v="801"/>
    <x v="71"/>
    <s v="C97593"/>
    <x v="4"/>
    <n v="4"/>
    <n v="595.62"/>
    <s v="738 Main St"/>
    <x v="0"/>
    <x v="4"/>
    <s v="TRK58443593"/>
    <n v="8"/>
    <s v="FREESHIP"/>
    <s v="Facebook"/>
    <x v="800"/>
    <s v="Normal"/>
  </r>
  <r>
    <x v="802"/>
    <x v="11"/>
    <s v="C84331"/>
    <x v="3"/>
    <n v="5"/>
    <n v="644.64"/>
    <s v="205 Main St"/>
    <x v="3"/>
    <x v="1"/>
    <s v="TRK34440714"/>
    <n v="6"/>
    <s v="FREESHIP"/>
    <s v="Email"/>
    <x v="801"/>
    <s v="Normal"/>
  </r>
  <r>
    <x v="803"/>
    <x v="38"/>
    <s v="C88775"/>
    <x v="0"/>
    <n v="5"/>
    <n v="397.81"/>
    <s v="223 Main St"/>
    <x v="0"/>
    <x v="2"/>
    <s v="TRK45098068"/>
    <n v="5"/>
    <s v="SAVE10"/>
    <s v="Referral"/>
    <x v="802"/>
    <s v="Normal"/>
  </r>
  <r>
    <x v="804"/>
    <x v="543"/>
    <s v="C76362"/>
    <x v="3"/>
    <n v="3"/>
    <n v="236.5"/>
    <s v="916 Main St"/>
    <x v="1"/>
    <x v="3"/>
    <s v="TRK11868618"/>
    <n v="8"/>
    <s v="FREESHIP"/>
    <s v="Email"/>
    <x v="803"/>
    <s v="Normal"/>
  </r>
  <r>
    <x v="805"/>
    <x v="12"/>
    <s v="C59278"/>
    <x v="5"/>
    <n v="5"/>
    <n v="472.01"/>
    <s v="178 Main St"/>
    <x v="3"/>
    <x v="1"/>
    <s v="TRK14590037"/>
    <n v="10"/>
    <s v="SAVE10"/>
    <s v="Email"/>
    <x v="804"/>
    <s v="Normal"/>
  </r>
  <r>
    <x v="806"/>
    <x v="544"/>
    <s v="C55819"/>
    <x v="3"/>
    <n v="5"/>
    <n v="253.75"/>
    <s v="740 Main St"/>
    <x v="1"/>
    <x v="4"/>
    <s v="TRK13775054"/>
    <n v="9"/>
    <s v="WINTER15"/>
    <s v="Instagram"/>
    <x v="805"/>
    <s v="Normal"/>
  </r>
  <r>
    <x v="807"/>
    <x v="337"/>
    <s v="C82344"/>
    <x v="0"/>
    <n v="3"/>
    <n v="676.21"/>
    <s v="260 Main St"/>
    <x v="1"/>
    <x v="3"/>
    <s v="TRK70957219"/>
    <n v="5"/>
    <s v="SAVE10"/>
    <s v="Google"/>
    <x v="806"/>
    <s v="Normal"/>
  </r>
  <r>
    <x v="808"/>
    <x v="545"/>
    <s v="C65565"/>
    <x v="6"/>
    <n v="3"/>
    <n v="134.05000000000001"/>
    <s v="192 Main St"/>
    <x v="2"/>
    <x v="0"/>
    <s v="TRK80383756"/>
    <n v="3"/>
    <s v="No Coupon"/>
    <s v="Google"/>
    <x v="807"/>
    <s v="Normal"/>
  </r>
  <r>
    <x v="809"/>
    <x v="398"/>
    <s v="C80416"/>
    <x v="6"/>
    <n v="5"/>
    <n v="217.43"/>
    <s v="752 Main St"/>
    <x v="0"/>
    <x v="0"/>
    <s v="TRK54385892"/>
    <n v="10"/>
    <s v="SAVE10"/>
    <s v="Instagram"/>
    <x v="808"/>
    <s v="Normal"/>
  </r>
  <r>
    <x v="810"/>
    <x v="546"/>
    <s v="C23637"/>
    <x v="2"/>
    <n v="1"/>
    <n v="553.55999999999995"/>
    <s v="644 Main St"/>
    <x v="2"/>
    <x v="1"/>
    <s v="TRK16749863"/>
    <n v="5"/>
    <s v="No Coupon"/>
    <s v="Referral"/>
    <x v="809"/>
    <s v="Normal"/>
  </r>
  <r>
    <x v="811"/>
    <x v="212"/>
    <s v="C24769"/>
    <x v="5"/>
    <n v="2"/>
    <n v="28.55"/>
    <s v="864 Main St"/>
    <x v="3"/>
    <x v="0"/>
    <s v="TRK44538305"/>
    <n v="7"/>
    <s v="SAVE10"/>
    <s v="Email"/>
    <x v="810"/>
    <s v="Normal"/>
  </r>
  <r>
    <x v="812"/>
    <x v="547"/>
    <s v="C81547"/>
    <x v="1"/>
    <n v="2"/>
    <n v="255.26"/>
    <s v="803 Main St"/>
    <x v="2"/>
    <x v="1"/>
    <s v="TRK88437123"/>
    <n v="6"/>
    <s v="FREESHIP"/>
    <s v="Google"/>
    <x v="811"/>
    <s v="Normal"/>
  </r>
  <r>
    <x v="813"/>
    <x v="175"/>
    <s v="C12813"/>
    <x v="5"/>
    <n v="5"/>
    <n v="292.54000000000002"/>
    <s v="263 Main St"/>
    <x v="0"/>
    <x v="1"/>
    <s v="TRK36131660"/>
    <n v="8"/>
    <s v="FREESHIP"/>
    <s v="Email"/>
    <x v="812"/>
    <s v="Normal"/>
  </r>
  <r>
    <x v="814"/>
    <x v="218"/>
    <s v="C50732"/>
    <x v="3"/>
    <n v="4"/>
    <n v="147.51"/>
    <s v="979 Main St"/>
    <x v="0"/>
    <x v="4"/>
    <s v="TRK21082461"/>
    <n v="4"/>
    <s v="WINTER15"/>
    <s v="Instagram"/>
    <x v="813"/>
    <s v="Normal"/>
  </r>
  <r>
    <x v="815"/>
    <x v="548"/>
    <s v="C41320"/>
    <x v="4"/>
    <n v="3"/>
    <n v="569.84"/>
    <s v="920 Main St"/>
    <x v="3"/>
    <x v="1"/>
    <s v="TRK77539180"/>
    <n v="8"/>
    <s v="WINTER15"/>
    <s v="Instagram"/>
    <x v="814"/>
    <s v="Normal"/>
  </r>
  <r>
    <x v="816"/>
    <x v="444"/>
    <s v="C55286"/>
    <x v="2"/>
    <n v="5"/>
    <n v="574.79"/>
    <s v="497 Main St"/>
    <x v="2"/>
    <x v="4"/>
    <s v="TRK39058734"/>
    <n v="8"/>
    <s v="WINTER15"/>
    <s v="Referral"/>
    <x v="815"/>
    <s v="Normal"/>
  </r>
  <r>
    <x v="817"/>
    <x v="469"/>
    <s v="C87994"/>
    <x v="3"/>
    <n v="4"/>
    <n v="598.19000000000005"/>
    <s v="430 Main St"/>
    <x v="2"/>
    <x v="3"/>
    <s v="TRK98883971"/>
    <n v="7"/>
    <s v="WINTER15"/>
    <s v="Email"/>
    <x v="816"/>
    <s v="Normal"/>
  </r>
  <r>
    <x v="818"/>
    <x v="521"/>
    <s v="C25580"/>
    <x v="1"/>
    <n v="4"/>
    <n v="390.84"/>
    <s v="860 Main St"/>
    <x v="2"/>
    <x v="1"/>
    <s v="TRK58781638"/>
    <n v="9"/>
    <s v="WINTER15"/>
    <s v="Referral"/>
    <x v="817"/>
    <s v="Normal"/>
  </r>
  <r>
    <x v="819"/>
    <x v="335"/>
    <s v="C66196"/>
    <x v="1"/>
    <n v="2"/>
    <n v="398.45"/>
    <s v="650 Main St"/>
    <x v="0"/>
    <x v="1"/>
    <s v="TRK38104650"/>
    <n v="7"/>
    <s v="SAVE10"/>
    <s v="Google"/>
    <x v="818"/>
    <s v="Normal"/>
  </r>
  <r>
    <x v="820"/>
    <x v="156"/>
    <s v="C35377"/>
    <x v="1"/>
    <n v="5"/>
    <n v="623.80999999999995"/>
    <s v="171 Main St"/>
    <x v="4"/>
    <x v="2"/>
    <s v="TRK17342157"/>
    <n v="6"/>
    <s v="FREESHIP"/>
    <s v="Email"/>
    <x v="819"/>
    <s v="Normal"/>
  </r>
  <r>
    <x v="821"/>
    <x v="549"/>
    <s v="C40771"/>
    <x v="5"/>
    <n v="4"/>
    <n v="174.49"/>
    <s v="259 Main St"/>
    <x v="2"/>
    <x v="3"/>
    <s v="TRK56310345"/>
    <n v="5"/>
    <s v="SAVE10"/>
    <s v="Facebook"/>
    <x v="820"/>
    <s v="Normal"/>
  </r>
  <r>
    <x v="822"/>
    <x v="175"/>
    <s v="C20624"/>
    <x v="1"/>
    <n v="1"/>
    <n v="479.56"/>
    <s v="923 Main St"/>
    <x v="3"/>
    <x v="2"/>
    <s v="TRK45123395"/>
    <n v="1"/>
    <s v="SAVE10"/>
    <s v="Google"/>
    <x v="821"/>
    <s v="Normal"/>
  </r>
  <r>
    <x v="823"/>
    <x v="550"/>
    <s v="C27070"/>
    <x v="5"/>
    <n v="4"/>
    <n v="653.13"/>
    <s v="973 Main St"/>
    <x v="2"/>
    <x v="0"/>
    <s v="TRK83842481"/>
    <n v="8"/>
    <s v="WINTER15"/>
    <s v="Instagram"/>
    <x v="822"/>
    <s v="Normal"/>
  </r>
  <r>
    <x v="824"/>
    <x v="193"/>
    <s v="C18826"/>
    <x v="0"/>
    <n v="3"/>
    <n v="481.1"/>
    <s v="664 Main St"/>
    <x v="2"/>
    <x v="2"/>
    <s v="TRK12530495"/>
    <n v="3"/>
    <s v="FREESHIP"/>
    <s v="Facebook"/>
    <x v="823"/>
    <s v="Normal"/>
  </r>
  <r>
    <x v="825"/>
    <x v="18"/>
    <s v="C23899"/>
    <x v="6"/>
    <n v="5"/>
    <n v="271.69"/>
    <s v="543 Main St"/>
    <x v="1"/>
    <x v="2"/>
    <s v="TRK88914760"/>
    <n v="7"/>
    <s v="FREESHIP"/>
    <s v="Instagram"/>
    <x v="824"/>
    <s v="Normal"/>
  </r>
  <r>
    <x v="826"/>
    <x v="177"/>
    <s v="C43249"/>
    <x v="4"/>
    <n v="3"/>
    <n v="463.81"/>
    <s v="283 Main St"/>
    <x v="1"/>
    <x v="2"/>
    <s v="TRK32469820"/>
    <n v="8"/>
    <s v="WINTER15"/>
    <s v="Email"/>
    <x v="825"/>
    <s v="Normal"/>
  </r>
  <r>
    <x v="827"/>
    <x v="551"/>
    <s v="C95856"/>
    <x v="2"/>
    <n v="2"/>
    <n v="639.88"/>
    <s v="432 Main St"/>
    <x v="4"/>
    <x v="3"/>
    <s v="TRK58829625"/>
    <n v="5"/>
    <s v="WINTER15"/>
    <s v="Instagram"/>
    <x v="826"/>
    <s v="Normal"/>
  </r>
  <r>
    <x v="828"/>
    <x v="25"/>
    <s v="C86266"/>
    <x v="3"/>
    <n v="4"/>
    <n v="404.58"/>
    <s v="510 Main St"/>
    <x v="4"/>
    <x v="0"/>
    <s v="TRK64576020"/>
    <n v="5"/>
    <s v="FREESHIP"/>
    <s v="Instagram"/>
    <x v="827"/>
    <s v="Normal"/>
  </r>
  <r>
    <x v="829"/>
    <x v="483"/>
    <s v="C39551"/>
    <x v="0"/>
    <n v="1"/>
    <n v="76.930000000000007"/>
    <s v="685 Main St"/>
    <x v="0"/>
    <x v="3"/>
    <s v="TRK68358007"/>
    <n v="6"/>
    <s v="WINTER15"/>
    <s v="Instagram"/>
    <x v="828"/>
    <s v="Normal"/>
  </r>
  <r>
    <x v="830"/>
    <x v="218"/>
    <s v="C90310"/>
    <x v="2"/>
    <n v="4"/>
    <n v="190.64"/>
    <s v="853 Main St"/>
    <x v="4"/>
    <x v="3"/>
    <s v="TRK70028457"/>
    <n v="5"/>
    <s v="SAVE10"/>
    <s v="Email"/>
    <x v="829"/>
    <s v="Normal"/>
  </r>
  <r>
    <x v="831"/>
    <x v="552"/>
    <s v="C20124"/>
    <x v="4"/>
    <n v="2"/>
    <n v="88.73"/>
    <s v="140 Main St"/>
    <x v="1"/>
    <x v="4"/>
    <s v="TRK61346824"/>
    <n v="5"/>
    <s v="No Coupon"/>
    <s v="Google"/>
    <x v="830"/>
    <s v="Normal"/>
  </r>
  <r>
    <x v="832"/>
    <x v="553"/>
    <s v="C63372"/>
    <x v="3"/>
    <n v="5"/>
    <n v="485.71"/>
    <s v="903 Main St"/>
    <x v="1"/>
    <x v="4"/>
    <s v="TRK14661811"/>
    <n v="10"/>
    <s v="SAVE10"/>
    <s v="Referral"/>
    <x v="831"/>
    <s v="Normal"/>
  </r>
  <r>
    <x v="833"/>
    <x v="387"/>
    <s v="C90595"/>
    <x v="1"/>
    <n v="5"/>
    <n v="78.290000000000006"/>
    <s v="508 Main St"/>
    <x v="2"/>
    <x v="0"/>
    <s v="TRK96573803"/>
    <n v="5"/>
    <s v="WINTER15"/>
    <s v="Referral"/>
    <x v="832"/>
    <s v="Normal"/>
  </r>
  <r>
    <x v="834"/>
    <x v="166"/>
    <s v="C98483"/>
    <x v="4"/>
    <n v="5"/>
    <n v="22.14"/>
    <s v="456 Main St"/>
    <x v="4"/>
    <x v="2"/>
    <s v="TRK22084320"/>
    <n v="10"/>
    <s v="No Coupon"/>
    <s v="Instagram"/>
    <x v="833"/>
    <s v="Normal"/>
  </r>
  <r>
    <x v="835"/>
    <x v="290"/>
    <s v="C16429"/>
    <x v="6"/>
    <n v="1"/>
    <n v="679.65"/>
    <s v="390 Main St"/>
    <x v="0"/>
    <x v="0"/>
    <s v="TRK73888013"/>
    <n v="6"/>
    <s v="FREESHIP"/>
    <s v="Google"/>
    <x v="834"/>
    <s v="Normal"/>
  </r>
  <r>
    <x v="836"/>
    <x v="488"/>
    <s v="C31810"/>
    <x v="1"/>
    <n v="1"/>
    <n v="178.44"/>
    <s v="328 Main St"/>
    <x v="2"/>
    <x v="1"/>
    <s v="TRK58725886"/>
    <n v="2"/>
    <s v="FREESHIP"/>
    <s v="Google"/>
    <x v="835"/>
    <s v="Normal"/>
  </r>
  <r>
    <x v="837"/>
    <x v="554"/>
    <s v="C88029"/>
    <x v="3"/>
    <n v="5"/>
    <n v="655.55"/>
    <s v="282 Main St"/>
    <x v="1"/>
    <x v="3"/>
    <s v="TRK59701278"/>
    <n v="5"/>
    <s v="No Coupon"/>
    <s v="Email"/>
    <x v="836"/>
    <s v="Normal"/>
  </r>
  <r>
    <x v="838"/>
    <x v="166"/>
    <s v="C57798"/>
    <x v="6"/>
    <n v="4"/>
    <n v="577.08000000000004"/>
    <s v="384 Main St"/>
    <x v="1"/>
    <x v="4"/>
    <s v="TRK68797566"/>
    <n v="8"/>
    <s v="No Coupon"/>
    <s v="Facebook"/>
    <x v="837"/>
    <s v="Normal"/>
  </r>
  <r>
    <x v="839"/>
    <x v="318"/>
    <s v="C82858"/>
    <x v="3"/>
    <n v="3"/>
    <n v="197.97"/>
    <s v="551 Main St"/>
    <x v="1"/>
    <x v="1"/>
    <s v="TRK90618490"/>
    <n v="5"/>
    <s v="No Coupon"/>
    <s v="Google"/>
    <x v="838"/>
    <s v="Normal"/>
  </r>
  <r>
    <x v="840"/>
    <x v="555"/>
    <s v="C60699"/>
    <x v="3"/>
    <n v="3"/>
    <n v="411.95"/>
    <s v="672 Main St"/>
    <x v="2"/>
    <x v="3"/>
    <s v="TRK88660574"/>
    <n v="7"/>
    <s v="FREESHIP"/>
    <s v="Referral"/>
    <x v="839"/>
    <s v="Normal"/>
  </r>
  <r>
    <x v="841"/>
    <x v="556"/>
    <s v="C94658"/>
    <x v="4"/>
    <n v="2"/>
    <n v="443.22"/>
    <s v="742 Main St"/>
    <x v="2"/>
    <x v="3"/>
    <s v="TRK51732528"/>
    <n v="5"/>
    <s v="No Coupon"/>
    <s v="Facebook"/>
    <x v="840"/>
    <s v="Normal"/>
  </r>
  <r>
    <x v="842"/>
    <x v="106"/>
    <s v="C78305"/>
    <x v="5"/>
    <n v="3"/>
    <n v="364.14"/>
    <s v="396 Main St"/>
    <x v="1"/>
    <x v="4"/>
    <s v="TRK88312618"/>
    <n v="7"/>
    <s v="WINTER15"/>
    <s v="Referral"/>
    <x v="841"/>
    <s v="Normal"/>
  </r>
  <r>
    <x v="843"/>
    <x v="557"/>
    <s v="C43538"/>
    <x v="6"/>
    <n v="3"/>
    <n v="430.06"/>
    <s v="534 Main St"/>
    <x v="3"/>
    <x v="1"/>
    <s v="TRK20961563"/>
    <n v="8"/>
    <s v="FREESHIP"/>
    <s v="Instagram"/>
    <x v="842"/>
    <s v="Normal"/>
  </r>
  <r>
    <x v="844"/>
    <x v="558"/>
    <s v="C47486"/>
    <x v="3"/>
    <n v="1"/>
    <n v="320.92"/>
    <s v="883 Main St"/>
    <x v="1"/>
    <x v="2"/>
    <s v="TRK75984759"/>
    <n v="5"/>
    <s v="FREESHIP"/>
    <s v="Facebook"/>
    <x v="843"/>
    <s v="Normal"/>
  </r>
  <r>
    <x v="845"/>
    <x v="345"/>
    <s v="C24212"/>
    <x v="1"/>
    <n v="3"/>
    <n v="107.36"/>
    <s v="808 Main St"/>
    <x v="3"/>
    <x v="3"/>
    <s v="TRK68894675"/>
    <n v="5"/>
    <s v="FREESHIP"/>
    <s v="Google"/>
    <x v="844"/>
    <s v="Normal"/>
  </r>
  <r>
    <x v="846"/>
    <x v="502"/>
    <s v="C24765"/>
    <x v="6"/>
    <n v="2"/>
    <n v="359.86"/>
    <s v="646 Main St"/>
    <x v="0"/>
    <x v="1"/>
    <s v="TRK43977698"/>
    <n v="4"/>
    <s v="No Coupon"/>
    <s v="Referral"/>
    <x v="845"/>
    <s v="Normal"/>
  </r>
  <r>
    <x v="847"/>
    <x v="249"/>
    <s v="C48176"/>
    <x v="4"/>
    <n v="4"/>
    <n v="434.23"/>
    <s v="670 Main St"/>
    <x v="1"/>
    <x v="0"/>
    <s v="TRK90560300"/>
    <n v="8"/>
    <s v="FREESHIP"/>
    <s v="Email"/>
    <x v="846"/>
    <s v="Normal"/>
  </r>
  <r>
    <x v="848"/>
    <x v="107"/>
    <s v="C54675"/>
    <x v="3"/>
    <n v="2"/>
    <n v="645.85"/>
    <s v="634 Main St"/>
    <x v="1"/>
    <x v="0"/>
    <s v="TRK18049633"/>
    <n v="5"/>
    <s v="No Coupon"/>
    <s v="Referral"/>
    <x v="847"/>
    <s v="Normal"/>
  </r>
  <r>
    <x v="849"/>
    <x v="559"/>
    <s v="C16675"/>
    <x v="4"/>
    <n v="4"/>
    <n v="214.35"/>
    <s v="664 Main St"/>
    <x v="0"/>
    <x v="1"/>
    <s v="TRK12756945"/>
    <n v="7"/>
    <s v="WINTER15"/>
    <s v="Referral"/>
    <x v="848"/>
    <s v="Normal"/>
  </r>
  <r>
    <x v="850"/>
    <x v="560"/>
    <s v="C38557"/>
    <x v="0"/>
    <n v="3"/>
    <n v="638.5"/>
    <s v="890 Main St"/>
    <x v="0"/>
    <x v="1"/>
    <s v="TRK14832238"/>
    <n v="4"/>
    <s v="FREESHIP"/>
    <s v="Instagram"/>
    <x v="849"/>
    <s v="Normal"/>
  </r>
  <r>
    <x v="851"/>
    <x v="427"/>
    <s v="C80183"/>
    <x v="5"/>
    <n v="1"/>
    <n v="365.57"/>
    <s v="146 Main St"/>
    <x v="1"/>
    <x v="1"/>
    <s v="TRK20814598"/>
    <n v="5"/>
    <s v="SAVE10"/>
    <s v="Email"/>
    <x v="850"/>
    <s v="Normal"/>
  </r>
  <r>
    <x v="852"/>
    <x v="101"/>
    <s v="C39530"/>
    <x v="6"/>
    <n v="3"/>
    <n v="568.04999999999995"/>
    <s v="618 Main St"/>
    <x v="3"/>
    <x v="4"/>
    <s v="TRK69000497"/>
    <n v="6"/>
    <s v="SAVE10"/>
    <s v="Google"/>
    <x v="851"/>
    <s v="Normal"/>
  </r>
  <r>
    <x v="853"/>
    <x v="504"/>
    <s v="C10002"/>
    <x v="4"/>
    <n v="3"/>
    <n v="490.01"/>
    <s v="894 Main St"/>
    <x v="4"/>
    <x v="2"/>
    <s v="TRK94641152"/>
    <n v="4"/>
    <s v="SAVE10"/>
    <s v="Facebook"/>
    <x v="852"/>
    <s v="Normal"/>
  </r>
  <r>
    <x v="854"/>
    <x v="399"/>
    <s v="C56938"/>
    <x v="5"/>
    <n v="3"/>
    <n v="372.6"/>
    <s v="356 Main St"/>
    <x v="2"/>
    <x v="3"/>
    <s v="TRK67735987"/>
    <n v="7"/>
    <s v="WINTER15"/>
    <s v="Referral"/>
    <x v="853"/>
    <s v="Normal"/>
  </r>
  <r>
    <x v="855"/>
    <x v="551"/>
    <s v="C41331"/>
    <x v="0"/>
    <n v="5"/>
    <n v="240.61"/>
    <s v="785 Main St"/>
    <x v="2"/>
    <x v="0"/>
    <s v="TRK94198179"/>
    <n v="10"/>
    <s v="FREESHIP"/>
    <s v="Email"/>
    <x v="854"/>
    <s v="Normal"/>
  </r>
  <r>
    <x v="856"/>
    <x v="561"/>
    <s v="C94698"/>
    <x v="1"/>
    <n v="1"/>
    <n v="586.62"/>
    <s v="871 Main St"/>
    <x v="0"/>
    <x v="0"/>
    <s v="TRK95768773"/>
    <n v="5"/>
    <s v="No Coupon"/>
    <s v="Facebook"/>
    <x v="855"/>
    <s v="Normal"/>
  </r>
  <r>
    <x v="857"/>
    <x v="416"/>
    <s v="C56506"/>
    <x v="1"/>
    <n v="3"/>
    <n v="257.83999999999997"/>
    <s v="185 Main St"/>
    <x v="1"/>
    <x v="3"/>
    <s v="TRK86808324"/>
    <n v="4"/>
    <s v="No Coupon"/>
    <s v="Instagram"/>
    <x v="856"/>
    <s v="Normal"/>
  </r>
  <r>
    <x v="858"/>
    <x v="38"/>
    <s v="C22167"/>
    <x v="2"/>
    <n v="5"/>
    <n v="435.66"/>
    <s v="891 Main St"/>
    <x v="1"/>
    <x v="4"/>
    <s v="TRK70269748"/>
    <n v="9"/>
    <s v="No Coupon"/>
    <s v="Facebook"/>
    <x v="857"/>
    <s v="Normal"/>
  </r>
  <r>
    <x v="859"/>
    <x v="562"/>
    <s v="C11127"/>
    <x v="3"/>
    <n v="5"/>
    <n v="261.33"/>
    <s v="154 Main St"/>
    <x v="2"/>
    <x v="2"/>
    <s v="TRK73285507"/>
    <n v="5"/>
    <s v="SAVE10"/>
    <s v="Referral"/>
    <x v="858"/>
    <s v="Normal"/>
  </r>
  <r>
    <x v="860"/>
    <x v="514"/>
    <s v="C69542"/>
    <x v="4"/>
    <n v="1"/>
    <n v="422.54"/>
    <s v="876 Main St"/>
    <x v="4"/>
    <x v="3"/>
    <s v="TRK20746505"/>
    <n v="1"/>
    <s v="SAVE10"/>
    <s v="Google"/>
    <x v="859"/>
    <s v="Normal"/>
  </r>
  <r>
    <x v="861"/>
    <x v="111"/>
    <s v="C93276"/>
    <x v="6"/>
    <n v="5"/>
    <n v="330.45"/>
    <s v="230 Main St"/>
    <x v="3"/>
    <x v="0"/>
    <s v="TRK44165913"/>
    <n v="10"/>
    <s v="FREESHIP"/>
    <s v="Google"/>
    <x v="860"/>
    <s v="Normal"/>
  </r>
  <r>
    <x v="862"/>
    <x v="278"/>
    <s v="C37969"/>
    <x v="6"/>
    <n v="3"/>
    <n v="120.82"/>
    <s v="799 Main St"/>
    <x v="2"/>
    <x v="0"/>
    <s v="TRK69852386"/>
    <n v="5"/>
    <s v="SAVE10"/>
    <s v="Referral"/>
    <x v="861"/>
    <s v="Normal"/>
  </r>
  <r>
    <x v="863"/>
    <x v="199"/>
    <s v="C98276"/>
    <x v="1"/>
    <n v="1"/>
    <n v="14.06"/>
    <s v="471 Main St"/>
    <x v="2"/>
    <x v="4"/>
    <s v="TRK74207282"/>
    <n v="5"/>
    <s v="SAVE10"/>
    <s v="Referral"/>
    <x v="862"/>
    <s v="Normal"/>
  </r>
  <r>
    <x v="864"/>
    <x v="71"/>
    <s v="C14240"/>
    <x v="6"/>
    <n v="1"/>
    <n v="491.11"/>
    <s v="592 Main St"/>
    <x v="2"/>
    <x v="3"/>
    <s v="TRK58095246"/>
    <n v="4"/>
    <s v="SAVE10"/>
    <s v="Facebook"/>
    <x v="863"/>
    <s v="Normal"/>
  </r>
  <r>
    <x v="865"/>
    <x v="563"/>
    <s v="C72241"/>
    <x v="0"/>
    <n v="4"/>
    <n v="677.37"/>
    <s v="156 Main St"/>
    <x v="4"/>
    <x v="4"/>
    <s v="TRK76270481"/>
    <n v="8"/>
    <s v="SAVE10"/>
    <s v="Google"/>
    <x v="864"/>
    <s v="Normal"/>
  </r>
  <r>
    <x v="866"/>
    <x v="503"/>
    <s v="C39664"/>
    <x v="6"/>
    <n v="5"/>
    <n v="189.25"/>
    <s v="693 Main St"/>
    <x v="0"/>
    <x v="1"/>
    <s v="TRK39917741"/>
    <n v="10"/>
    <s v="WINTER15"/>
    <s v="Email"/>
    <x v="865"/>
    <s v="Normal"/>
  </r>
  <r>
    <x v="867"/>
    <x v="564"/>
    <s v="C53252"/>
    <x v="4"/>
    <n v="4"/>
    <n v="142.58000000000001"/>
    <s v="351 Main St"/>
    <x v="4"/>
    <x v="3"/>
    <s v="TRK65831261"/>
    <n v="4"/>
    <s v="FREESHIP"/>
    <s v="Facebook"/>
    <x v="866"/>
    <s v="Normal"/>
  </r>
  <r>
    <x v="868"/>
    <x v="310"/>
    <s v="C70452"/>
    <x v="0"/>
    <n v="4"/>
    <n v="316.32"/>
    <s v="309 Main St"/>
    <x v="0"/>
    <x v="3"/>
    <s v="TRK42985882"/>
    <n v="7"/>
    <s v="No Coupon"/>
    <s v="Facebook"/>
    <x v="867"/>
    <s v="Normal"/>
  </r>
  <r>
    <x v="869"/>
    <x v="537"/>
    <s v="C29905"/>
    <x v="6"/>
    <n v="2"/>
    <n v="533.95000000000005"/>
    <s v="790 Main St"/>
    <x v="1"/>
    <x v="3"/>
    <s v="TRK16788127"/>
    <n v="5"/>
    <s v="WINTER15"/>
    <s v="Google"/>
    <x v="868"/>
    <s v="Normal"/>
  </r>
  <r>
    <x v="870"/>
    <x v="565"/>
    <s v="C78725"/>
    <x v="1"/>
    <n v="4"/>
    <n v="470.09"/>
    <s v="541 Main St"/>
    <x v="0"/>
    <x v="3"/>
    <s v="TRK72001139"/>
    <n v="4"/>
    <s v="FREESHIP"/>
    <s v="Google"/>
    <x v="869"/>
    <s v="Normal"/>
  </r>
  <r>
    <x v="871"/>
    <x v="149"/>
    <s v="C93768"/>
    <x v="2"/>
    <n v="3"/>
    <n v="324.3"/>
    <s v="720 Main St"/>
    <x v="0"/>
    <x v="4"/>
    <s v="TRK22024707"/>
    <n v="8"/>
    <s v="FREESHIP"/>
    <s v="Email"/>
    <x v="870"/>
    <s v="Normal"/>
  </r>
  <r>
    <x v="872"/>
    <x v="566"/>
    <s v="C59169"/>
    <x v="3"/>
    <n v="4"/>
    <n v="629.34"/>
    <s v="172 Main St"/>
    <x v="4"/>
    <x v="0"/>
    <s v="TRK90883858"/>
    <n v="7"/>
    <s v="No Coupon"/>
    <s v="Email"/>
    <x v="120"/>
    <s v="Normal"/>
  </r>
  <r>
    <x v="873"/>
    <x v="258"/>
    <s v="C53488"/>
    <x v="6"/>
    <n v="3"/>
    <n v="136.84"/>
    <s v="448 Main St"/>
    <x v="4"/>
    <x v="3"/>
    <s v="TRK27365050"/>
    <n v="3"/>
    <s v="SAVE10"/>
    <s v="Facebook"/>
    <x v="502"/>
    <s v="Normal"/>
  </r>
  <r>
    <x v="874"/>
    <x v="150"/>
    <s v="C92180"/>
    <x v="3"/>
    <n v="2"/>
    <n v="488.9"/>
    <s v="632 Main St"/>
    <x v="4"/>
    <x v="3"/>
    <s v="TRK93315929"/>
    <n v="7"/>
    <s v="FREESHIP"/>
    <s v="Facebook"/>
    <x v="871"/>
    <s v="Normal"/>
  </r>
  <r>
    <x v="875"/>
    <x v="567"/>
    <s v="C25918"/>
    <x v="5"/>
    <n v="5"/>
    <n v="133.38999999999999"/>
    <s v="203 Main St"/>
    <x v="2"/>
    <x v="3"/>
    <s v="TRK66473392"/>
    <n v="6"/>
    <s v="FREESHIP"/>
    <s v="Referral"/>
    <x v="872"/>
    <s v="Normal"/>
  </r>
  <r>
    <x v="876"/>
    <x v="410"/>
    <s v="C90363"/>
    <x v="3"/>
    <n v="5"/>
    <n v="608.91"/>
    <s v="200 Main St"/>
    <x v="3"/>
    <x v="4"/>
    <s v="TRK21534173"/>
    <n v="6"/>
    <s v="SAVE10"/>
    <s v="Google"/>
    <x v="873"/>
    <s v="Normal"/>
  </r>
  <r>
    <x v="877"/>
    <x v="568"/>
    <s v="C43867"/>
    <x v="2"/>
    <n v="1"/>
    <n v="524.05999999999995"/>
    <s v="269 Main St"/>
    <x v="0"/>
    <x v="4"/>
    <s v="TRK97319127"/>
    <n v="3"/>
    <s v="FREESHIP"/>
    <s v="Email"/>
    <x v="874"/>
    <s v="Normal"/>
  </r>
  <r>
    <x v="878"/>
    <x v="569"/>
    <s v="C73873"/>
    <x v="6"/>
    <n v="2"/>
    <n v="330.69"/>
    <s v="393 Main St"/>
    <x v="1"/>
    <x v="1"/>
    <s v="TRK56423132"/>
    <n v="5"/>
    <s v="SAVE10"/>
    <s v="Google"/>
    <x v="875"/>
    <s v="Normal"/>
  </r>
  <r>
    <x v="879"/>
    <x v="428"/>
    <s v="C56622"/>
    <x v="1"/>
    <n v="2"/>
    <n v="547.66999999999996"/>
    <s v="932 Main St"/>
    <x v="3"/>
    <x v="0"/>
    <s v="TRK86373987"/>
    <n v="3"/>
    <s v="No Coupon"/>
    <s v="Instagram"/>
    <x v="876"/>
    <s v="Normal"/>
  </r>
  <r>
    <x v="880"/>
    <x v="495"/>
    <s v="C85074"/>
    <x v="5"/>
    <n v="4"/>
    <n v="233.7"/>
    <s v="506 Main St"/>
    <x v="1"/>
    <x v="0"/>
    <s v="TRK63133878"/>
    <n v="8"/>
    <s v="SAVE10"/>
    <s v="Facebook"/>
    <x v="877"/>
    <s v="Normal"/>
  </r>
  <r>
    <x v="881"/>
    <x v="570"/>
    <s v="C59579"/>
    <x v="2"/>
    <n v="2"/>
    <n v="448.85"/>
    <s v="386 Main St"/>
    <x v="2"/>
    <x v="4"/>
    <s v="TRK48000034"/>
    <n v="6"/>
    <s v="No Coupon"/>
    <s v="Instagram"/>
    <x v="878"/>
    <s v="Normal"/>
  </r>
  <r>
    <x v="882"/>
    <x v="164"/>
    <s v="C43335"/>
    <x v="1"/>
    <n v="2"/>
    <n v="274.12"/>
    <s v="533 Main St"/>
    <x v="4"/>
    <x v="3"/>
    <s v="TRK91848650"/>
    <n v="6"/>
    <s v="FREESHIP"/>
    <s v="Referral"/>
    <x v="879"/>
    <s v="Normal"/>
  </r>
  <r>
    <x v="883"/>
    <x v="557"/>
    <s v="C43595"/>
    <x v="4"/>
    <n v="5"/>
    <n v="561.48"/>
    <s v="451 Main St"/>
    <x v="1"/>
    <x v="3"/>
    <s v="TRK25317348"/>
    <n v="9"/>
    <s v="FREESHIP"/>
    <s v="Facebook"/>
    <x v="880"/>
    <s v="Normal"/>
  </r>
  <r>
    <x v="884"/>
    <x v="571"/>
    <s v="C71471"/>
    <x v="3"/>
    <n v="1"/>
    <n v="595.54"/>
    <s v="817 Main St"/>
    <x v="3"/>
    <x v="0"/>
    <s v="TRK52137079"/>
    <n v="4"/>
    <s v="No Coupon"/>
    <s v="Instagram"/>
    <x v="881"/>
    <s v="Normal"/>
  </r>
  <r>
    <x v="885"/>
    <x v="158"/>
    <s v="C61090"/>
    <x v="5"/>
    <n v="4"/>
    <n v="515.59"/>
    <s v="387 Main St"/>
    <x v="2"/>
    <x v="0"/>
    <s v="TRK36388962"/>
    <n v="7"/>
    <s v="FREESHIP"/>
    <s v="Google"/>
    <x v="882"/>
    <s v="Normal"/>
  </r>
  <r>
    <x v="886"/>
    <x v="385"/>
    <s v="C29620"/>
    <x v="1"/>
    <n v="1"/>
    <n v="460.13"/>
    <s v="792 Main St"/>
    <x v="2"/>
    <x v="2"/>
    <s v="TRK22046456"/>
    <n v="1"/>
    <s v="No Coupon"/>
    <s v="Google"/>
    <x v="883"/>
    <s v="Normal"/>
  </r>
  <r>
    <x v="887"/>
    <x v="36"/>
    <s v="C67932"/>
    <x v="3"/>
    <n v="3"/>
    <n v="171.66"/>
    <s v="857 Main St"/>
    <x v="0"/>
    <x v="3"/>
    <s v="TRK88547534"/>
    <n v="7"/>
    <s v="No Coupon"/>
    <s v="Google"/>
    <x v="884"/>
    <s v="Normal"/>
  </r>
  <r>
    <x v="888"/>
    <x v="572"/>
    <s v="C14427"/>
    <x v="5"/>
    <n v="2"/>
    <n v="266.95"/>
    <s v="833 Main St"/>
    <x v="2"/>
    <x v="4"/>
    <s v="TRK58024529"/>
    <n v="3"/>
    <s v="No Coupon"/>
    <s v="Instagram"/>
    <x v="885"/>
    <s v="Normal"/>
  </r>
  <r>
    <x v="889"/>
    <x v="245"/>
    <s v="C36725"/>
    <x v="0"/>
    <n v="5"/>
    <n v="650.72"/>
    <s v="350 Main St"/>
    <x v="2"/>
    <x v="1"/>
    <s v="TRK16808790"/>
    <n v="8"/>
    <s v="WINTER15"/>
    <s v="Email"/>
    <x v="886"/>
    <s v="Normal"/>
  </r>
  <r>
    <x v="890"/>
    <x v="178"/>
    <s v="C51921"/>
    <x v="5"/>
    <n v="3"/>
    <n v="439.53"/>
    <s v="943 Main St"/>
    <x v="0"/>
    <x v="4"/>
    <s v="TRK85741716"/>
    <n v="5"/>
    <s v="No Coupon"/>
    <s v="Google"/>
    <x v="887"/>
    <s v="Normal"/>
  </r>
  <r>
    <x v="891"/>
    <x v="433"/>
    <s v="C36534"/>
    <x v="0"/>
    <n v="3"/>
    <n v="654.54"/>
    <s v="918 Main St"/>
    <x v="4"/>
    <x v="2"/>
    <s v="TRK38952138"/>
    <n v="7"/>
    <s v="SAVE10"/>
    <s v="Referral"/>
    <x v="888"/>
    <s v="Normal"/>
  </r>
  <r>
    <x v="892"/>
    <x v="573"/>
    <s v="C72043"/>
    <x v="6"/>
    <n v="1"/>
    <n v="394.53"/>
    <s v="480 Main St"/>
    <x v="4"/>
    <x v="0"/>
    <s v="TRK40896408"/>
    <n v="2"/>
    <s v="FREESHIP"/>
    <s v="Referral"/>
    <x v="889"/>
    <s v="Normal"/>
  </r>
  <r>
    <x v="893"/>
    <x v="574"/>
    <s v="C99533"/>
    <x v="0"/>
    <n v="1"/>
    <n v="678.01"/>
    <s v="696 Main St"/>
    <x v="4"/>
    <x v="4"/>
    <s v="TRK55701253"/>
    <n v="4"/>
    <s v="FREESHIP"/>
    <s v="Referral"/>
    <x v="890"/>
    <s v="Normal"/>
  </r>
  <r>
    <x v="894"/>
    <x v="575"/>
    <s v="C90852"/>
    <x v="2"/>
    <n v="3"/>
    <n v="575.01"/>
    <s v="852 Main St"/>
    <x v="1"/>
    <x v="1"/>
    <s v="TRK37551831"/>
    <n v="8"/>
    <s v="WINTER15"/>
    <s v="Instagram"/>
    <x v="891"/>
    <s v="Normal"/>
  </r>
  <r>
    <x v="895"/>
    <x v="576"/>
    <s v="C81882"/>
    <x v="3"/>
    <n v="3"/>
    <n v="154.63999999999999"/>
    <s v="832 Main St"/>
    <x v="0"/>
    <x v="4"/>
    <s v="TRK62371264"/>
    <n v="6"/>
    <s v="WINTER15"/>
    <s v="Facebook"/>
    <x v="892"/>
    <s v="Normal"/>
  </r>
  <r>
    <x v="896"/>
    <x v="266"/>
    <s v="C85466"/>
    <x v="6"/>
    <n v="3"/>
    <n v="147.29"/>
    <s v="102 Main St"/>
    <x v="3"/>
    <x v="0"/>
    <s v="TRK66764177"/>
    <n v="3"/>
    <s v="FREESHIP"/>
    <s v="Google"/>
    <x v="893"/>
    <s v="Normal"/>
  </r>
  <r>
    <x v="897"/>
    <x v="459"/>
    <s v="C87995"/>
    <x v="5"/>
    <n v="4"/>
    <n v="481.48"/>
    <s v="358 Main St"/>
    <x v="3"/>
    <x v="3"/>
    <s v="TRK38730545"/>
    <n v="5"/>
    <s v="SAVE10"/>
    <s v="Instagram"/>
    <x v="894"/>
    <s v="Normal"/>
  </r>
  <r>
    <x v="898"/>
    <x v="376"/>
    <s v="C44619"/>
    <x v="0"/>
    <n v="3"/>
    <n v="158.37"/>
    <s v="742 Main St"/>
    <x v="4"/>
    <x v="0"/>
    <s v="TRK66662528"/>
    <n v="6"/>
    <s v="No Coupon"/>
    <s v="Referral"/>
    <x v="895"/>
    <s v="Normal"/>
  </r>
  <r>
    <x v="899"/>
    <x v="577"/>
    <s v="C99904"/>
    <x v="4"/>
    <n v="2"/>
    <n v="323.37"/>
    <s v="552 Main St"/>
    <x v="1"/>
    <x v="4"/>
    <s v="TRK83843411"/>
    <n v="3"/>
    <s v="SAVE10"/>
    <s v="Instagram"/>
    <x v="896"/>
    <s v="Normal"/>
  </r>
  <r>
    <x v="900"/>
    <x v="492"/>
    <s v="C52342"/>
    <x v="5"/>
    <n v="5"/>
    <n v="73.83"/>
    <s v="991 Main St"/>
    <x v="0"/>
    <x v="4"/>
    <s v="TRK67342586"/>
    <n v="9"/>
    <s v="No Coupon"/>
    <s v="Instagram"/>
    <x v="897"/>
    <s v="Normal"/>
  </r>
  <r>
    <x v="901"/>
    <x v="578"/>
    <s v="C44277"/>
    <x v="2"/>
    <n v="1"/>
    <n v="458.63"/>
    <s v="839 Main St"/>
    <x v="0"/>
    <x v="2"/>
    <s v="TRK79321479"/>
    <n v="4"/>
    <s v="WINTER15"/>
    <s v="Referral"/>
    <x v="898"/>
    <s v="Normal"/>
  </r>
  <r>
    <x v="902"/>
    <x v="579"/>
    <s v="C61162"/>
    <x v="0"/>
    <n v="4"/>
    <n v="180.25"/>
    <s v="813 Main St"/>
    <x v="0"/>
    <x v="1"/>
    <s v="TRK76712124"/>
    <n v="7"/>
    <s v="No Coupon"/>
    <s v="Facebook"/>
    <x v="899"/>
    <s v="Normal"/>
  </r>
  <r>
    <x v="903"/>
    <x v="209"/>
    <s v="C80868"/>
    <x v="0"/>
    <n v="3"/>
    <n v="473.49"/>
    <s v="205 Main St"/>
    <x v="2"/>
    <x v="4"/>
    <s v="TRK56186636"/>
    <n v="7"/>
    <s v="No Coupon"/>
    <s v="Email"/>
    <x v="900"/>
    <s v="Normal"/>
  </r>
  <r>
    <x v="904"/>
    <x v="580"/>
    <s v="C16693"/>
    <x v="0"/>
    <n v="4"/>
    <n v="237.43"/>
    <s v="262 Main St"/>
    <x v="4"/>
    <x v="1"/>
    <s v="TRK41146508"/>
    <n v="8"/>
    <s v="WINTER15"/>
    <s v="Referral"/>
    <x v="901"/>
    <s v="Normal"/>
  </r>
  <r>
    <x v="905"/>
    <x v="581"/>
    <s v="C67818"/>
    <x v="5"/>
    <n v="1"/>
    <n v="442.39"/>
    <s v="101 Main St"/>
    <x v="3"/>
    <x v="4"/>
    <s v="TRK81978113"/>
    <n v="6"/>
    <s v="FREESHIP"/>
    <s v="Facebook"/>
    <x v="902"/>
    <s v="Normal"/>
  </r>
  <r>
    <x v="906"/>
    <x v="459"/>
    <s v="C49938"/>
    <x v="0"/>
    <n v="1"/>
    <n v="62.12"/>
    <s v="141 Main St"/>
    <x v="4"/>
    <x v="2"/>
    <s v="TRK80175572"/>
    <n v="2"/>
    <s v="No Coupon"/>
    <s v="Email"/>
    <x v="903"/>
    <s v="Normal"/>
  </r>
  <r>
    <x v="907"/>
    <x v="548"/>
    <s v="C90898"/>
    <x v="6"/>
    <n v="5"/>
    <n v="298.39"/>
    <s v="583 Main St"/>
    <x v="3"/>
    <x v="1"/>
    <s v="TRK52935170"/>
    <n v="7"/>
    <s v="WINTER15"/>
    <s v="Referral"/>
    <x v="904"/>
    <s v="Normal"/>
  </r>
  <r>
    <x v="908"/>
    <x v="138"/>
    <s v="C35117"/>
    <x v="6"/>
    <n v="2"/>
    <n v="697.93"/>
    <s v="332 Main St"/>
    <x v="2"/>
    <x v="1"/>
    <s v="TRK27155709"/>
    <n v="2"/>
    <s v="SAVE10"/>
    <s v="Google"/>
    <x v="905"/>
    <s v="Normal"/>
  </r>
  <r>
    <x v="909"/>
    <x v="582"/>
    <s v="C60203"/>
    <x v="2"/>
    <n v="2"/>
    <n v="291.85000000000002"/>
    <s v="569 Main St"/>
    <x v="4"/>
    <x v="0"/>
    <s v="TRK76525279"/>
    <n v="5"/>
    <s v="FREESHIP"/>
    <s v="Instagram"/>
    <x v="906"/>
    <s v="Normal"/>
  </r>
  <r>
    <x v="910"/>
    <x v="583"/>
    <s v="C36174"/>
    <x v="4"/>
    <n v="3"/>
    <n v="308.98"/>
    <s v="348 Main St"/>
    <x v="4"/>
    <x v="3"/>
    <s v="TRK26397548"/>
    <n v="3"/>
    <s v="SAVE10"/>
    <s v="Instagram"/>
    <x v="907"/>
    <s v="Normal"/>
  </r>
  <r>
    <x v="911"/>
    <x v="584"/>
    <s v="C80872"/>
    <x v="6"/>
    <n v="5"/>
    <n v="396.86"/>
    <s v="593 Main St"/>
    <x v="4"/>
    <x v="1"/>
    <s v="TRK43967487"/>
    <n v="9"/>
    <s v="SAVE10"/>
    <s v="Instagram"/>
    <x v="908"/>
    <s v="Normal"/>
  </r>
  <r>
    <x v="912"/>
    <x v="585"/>
    <s v="C67604"/>
    <x v="6"/>
    <n v="2"/>
    <n v="139.69"/>
    <s v="318 Main St"/>
    <x v="1"/>
    <x v="2"/>
    <s v="TRK85545920"/>
    <n v="7"/>
    <s v="FREESHIP"/>
    <s v="Email"/>
    <x v="909"/>
    <s v="Normal"/>
  </r>
  <r>
    <x v="913"/>
    <x v="223"/>
    <s v="C45599"/>
    <x v="4"/>
    <n v="5"/>
    <n v="475.95"/>
    <s v="505 Main St"/>
    <x v="2"/>
    <x v="2"/>
    <s v="TRK62277685"/>
    <n v="8"/>
    <s v="WINTER15"/>
    <s v="Facebook"/>
    <x v="910"/>
    <s v="Normal"/>
  </r>
  <r>
    <x v="914"/>
    <x v="441"/>
    <s v="C70352"/>
    <x v="6"/>
    <n v="1"/>
    <n v="626.6"/>
    <s v="955 Main St"/>
    <x v="3"/>
    <x v="2"/>
    <s v="TRK51589589"/>
    <n v="4"/>
    <s v="WINTER15"/>
    <s v="Facebook"/>
    <x v="911"/>
    <s v="Normal"/>
  </r>
  <r>
    <x v="915"/>
    <x v="586"/>
    <s v="C20643"/>
    <x v="5"/>
    <n v="4"/>
    <n v="502.99"/>
    <s v="939 Main St"/>
    <x v="0"/>
    <x v="0"/>
    <s v="TRK30736692"/>
    <n v="4"/>
    <s v="WINTER15"/>
    <s v="Referral"/>
    <x v="912"/>
    <s v="Normal"/>
  </r>
  <r>
    <x v="916"/>
    <x v="587"/>
    <s v="C35669"/>
    <x v="4"/>
    <n v="5"/>
    <n v="578.83000000000004"/>
    <s v="165 Main St"/>
    <x v="4"/>
    <x v="2"/>
    <s v="TRK13928455"/>
    <n v="6"/>
    <s v="No Coupon"/>
    <s v="Referral"/>
    <x v="913"/>
    <s v="Normal"/>
  </r>
  <r>
    <x v="917"/>
    <x v="588"/>
    <s v="C65524"/>
    <x v="5"/>
    <n v="5"/>
    <n v="383.82"/>
    <s v="836 Main St"/>
    <x v="2"/>
    <x v="2"/>
    <s v="TRK19315310"/>
    <n v="7"/>
    <s v="FREESHIP"/>
    <s v="Google"/>
    <x v="914"/>
    <s v="Normal"/>
  </r>
  <r>
    <x v="918"/>
    <x v="53"/>
    <s v="C74359"/>
    <x v="5"/>
    <n v="5"/>
    <n v="368.25"/>
    <s v="706 Main St"/>
    <x v="1"/>
    <x v="3"/>
    <s v="TRK18250450"/>
    <n v="5"/>
    <s v="No Coupon"/>
    <s v="Instagram"/>
    <x v="915"/>
    <s v="Normal"/>
  </r>
  <r>
    <x v="919"/>
    <x v="492"/>
    <s v="C92086"/>
    <x v="4"/>
    <n v="2"/>
    <n v="374.6"/>
    <s v="187 Main St"/>
    <x v="1"/>
    <x v="0"/>
    <s v="TRK23357668"/>
    <n v="3"/>
    <s v="FREESHIP"/>
    <s v="Referral"/>
    <x v="916"/>
    <s v="Normal"/>
  </r>
  <r>
    <x v="920"/>
    <x v="495"/>
    <s v="C26137"/>
    <x v="2"/>
    <n v="2"/>
    <n v="428.09"/>
    <s v="978 Main St"/>
    <x v="2"/>
    <x v="2"/>
    <s v="TRK98110407"/>
    <n v="6"/>
    <s v="No Coupon"/>
    <s v="Instagram"/>
    <x v="917"/>
    <s v="Normal"/>
  </r>
  <r>
    <x v="921"/>
    <x v="528"/>
    <s v="C90573"/>
    <x v="2"/>
    <n v="1"/>
    <n v="438.93"/>
    <s v="144 Main St"/>
    <x v="3"/>
    <x v="1"/>
    <s v="TRK90075720"/>
    <n v="3"/>
    <s v="SAVE10"/>
    <s v="Referral"/>
    <x v="918"/>
    <s v="Normal"/>
  </r>
  <r>
    <x v="922"/>
    <x v="589"/>
    <s v="C81857"/>
    <x v="6"/>
    <n v="2"/>
    <n v="563.82000000000005"/>
    <s v="487 Main St"/>
    <x v="2"/>
    <x v="4"/>
    <s v="TRK79737732"/>
    <n v="3"/>
    <s v="No Coupon"/>
    <s v="Instagram"/>
    <x v="919"/>
    <s v="Normal"/>
  </r>
  <r>
    <x v="923"/>
    <x v="91"/>
    <s v="C91582"/>
    <x v="4"/>
    <n v="3"/>
    <n v="649.92999999999995"/>
    <s v="836 Main St"/>
    <x v="2"/>
    <x v="4"/>
    <s v="TRK99938245"/>
    <n v="7"/>
    <s v="WINTER15"/>
    <s v="Facebook"/>
    <x v="920"/>
    <s v="Normal"/>
  </r>
  <r>
    <x v="924"/>
    <x v="29"/>
    <s v="C81319"/>
    <x v="4"/>
    <n v="5"/>
    <n v="268.43"/>
    <s v="991 Main St"/>
    <x v="4"/>
    <x v="2"/>
    <s v="TRK55330558"/>
    <n v="5"/>
    <s v="SAVE10"/>
    <s v="Email"/>
    <x v="921"/>
    <s v="Normal"/>
  </r>
  <r>
    <x v="925"/>
    <x v="590"/>
    <s v="C78500"/>
    <x v="0"/>
    <n v="5"/>
    <n v="502.47"/>
    <s v="304 Main St"/>
    <x v="1"/>
    <x v="0"/>
    <s v="TRK97460884"/>
    <n v="10"/>
    <s v="WINTER15"/>
    <s v="Email"/>
    <x v="922"/>
    <s v="Normal"/>
  </r>
  <r>
    <x v="926"/>
    <x v="591"/>
    <s v="C67533"/>
    <x v="6"/>
    <n v="1"/>
    <n v="26.95"/>
    <s v="672 Main St"/>
    <x v="4"/>
    <x v="3"/>
    <s v="TRK14566395"/>
    <n v="1"/>
    <s v="WINTER15"/>
    <s v="Email"/>
    <x v="923"/>
    <s v="Normal"/>
  </r>
  <r>
    <x v="927"/>
    <x v="592"/>
    <s v="C35566"/>
    <x v="5"/>
    <n v="4"/>
    <n v="64.69"/>
    <s v="638 Main St"/>
    <x v="0"/>
    <x v="0"/>
    <s v="TRK10003020"/>
    <n v="7"/>
    <s v="WINTER15"/>
    <s v="Google"/>
    <x v="924"/>
    <s v="Normal"/>
  </r>
  <r>
    <x v="928"/>
    <x v="593"/>
    <s v="C77166"/>
    <x v="5"/>
    <n v="3"/>
    <n v="247.11"/>
    <s v="821 Main St"/>
    <x v="0"/>
    <x v="2"/>
    <s v="TRK18896595"/>
    <n v="3"/>
    <s v="WINTER15"/>
    <s v="Referral"/>
    <x v="925"/>
    <s v="Normal"/>
  </r>
  <r>
    <x v="929"/>
    <x v="594"/>
    <s v="C67936"/>
    <x v="2"/>
    <n v="2"/>
    <n v="536.25"/>
    <s v="553 Main St"/>
    <x v="0"/>
    <x v="4"/>
    <s v="TRK71803414"/>
    <n v="3"/>
    <s v="No Coupon"/>
    <s v="Email"/>
    <x v="926"/>
    <s v="Normal"/>
  </r>
  <r>
    <x v="930"/>
    <x v="393"/>
    <s v="C59554"/>
    <x v="1"/>
    <n v="2"/>
    <n v="456.04"/>
    <s v="382 Main St"/>
    <x v="0"/>
    <x v="2"/>
    <s v="TRK28182447"/>
    <n v="4"/>
    <s v="FREESHIP"/>
    <s v="Email"/>
    <x v="927"/>
    <s v="Normal"/>
  </r>
  <r>
    <x v="931"/>
    <x v="543"/>
    <s v="C14005"/>
    <x v="4"/>
    <n v="2"/>
    <n v="40.229999999999997"/>
    <s v="623 Main St"/>
    <x v="2"/>
    <x v="1"/>
    <s v="TRK87567926"/>
    <n v="4"/>
    <s v="SAVE10"/>
    <s v="Google"/>
    <x v="928"/>
    <s v="Normal"/>
  </r>
  <r>
    <x v="932"/>
    <x v="465"/>
    <s v="C26118"/>
    <x v="5"/>
    <n v="2"/>
    <n v="72.39"/>
    <s v="168 Main St"/>
    <x v="1"/>
    <x v="3"/>
    <s v="TRK15334251"/>
    <n v="7"/>
    <s v="WINTER15"/>
    <s v="Instagram"/>
    <x v="929"/>
    <s v="Normal"/>
  </r>
  <r>
    <x v="933"/>
    <x v="595"/>
    <s v="C59685"/>
    <x v="0"/>
    <n v="2"/>
    <n v="394.16"/>
    <s v="255 Main St"/>
    <x v="1"/>
    <x v="0"/>
    <s v="TRK43718093"/>
    <n v="2"/>
    <s v="No Coupon"/>
    <s v="Referral"/>
    <x v="930"/>
    <s v="Normal"/>
  </r>
  <r>
    <x v="934"/>
    <x v="565"/>
    <s v="C40304"/>
    <x v="5"/>
    <n v="4"/>
    <n v="119.84"/>
    <s v="692 Main St"/>
    <x v="3"/>
    <x v="0"/>
    <s v="TRK85790948"/>
    <n v="8"/>
    <s v="FREESHIP"/>
    <s v="Referral"/>
    <x v="931"/>
    <s v="Normal"/>
  </r>
  <r>
    <x v="935"/>
    <x v="254"/>
    <s v="C39593"/>
    <x v="1"/>
    <n v="3"/>
    <n v="692.71"/>
    <s v="398 Main St"/>
    <x v="2"/>
    <x v="3"/>
    <s v="TRK62405253"/>
    <n v="3"/>
    <s v="FREESHIP"/>
    <s v="Instagram"/>
    <x v="932"/>
    <s v="Normal"/>
  </r>
  <r>
    <x v="936"/>
    <x v="596"/>
    <s v="C50612"/>
    <x v="3"/>
    <n v="4"/>
    <n v="56.66"/>
    <s v="737 Main St"/>
    <x v="1"/>
    <x v="3"/>
    <s v="TRK44140968"/>
    <n v="4"/>
    <s v="SAVE10"/>
    <s v="Instagram"/>
    <x v="933"/>
    <s v="Normal"/>
  </r>
  <r>
    <x v="937"/>
    <x v="462"/>
    <s v="C39791"/>
    <x v="3"/>
    <n v="2"/>
    <n v="298.52999999999997"/>
    <s v="536 Main St"/>
    <x v="0"/>
    <x v="1"/>
    <s v="TRK46221436"/>
    <n v="5"/>
    <s v="WINTER15"/>
    <s v="Email"/>
    <x v="934"/>
    <s v="Normal"/>
  </r>
  <r>
    <x v="938"/>
    <x v="219"/>
    <s v="C39017"/>
    <x v="3"/>
    <n v="3"/>
    <n v="331.46"/>
    <s v="696 Main St"/>
    <x v="2"/>
    <x v="1"/>
    <s v="TRK91155214"/>
    <n v="6"/>
    <s v="WINTER15"/>
    <s v="Referral"/>
    <x v="935"/>
    <s v="Normal"/>
  </r>
  <r>
    <x v="939"/>
    <x v="597"/>
    <s v="C48510"/>
    <x v="5"/>
    <n v="2"/>
    <n v="521.4"/>
    <s v="212 Main St"/>
    <x v="4"/>
    <x v="3"/>
    <s v="TRK53152886"/>
    <n v="7"/>
    <s v="SAVE10"/>
    <s v="Instagram"/>
    <x v="936"/>
    <s v="Normal"/>
  </r>
  <r>
    <x v="940"/>
    <x v="14"/>
    <s v="C74003"/>
    <x v="4"/>
    <n v="4"/>
    <n v="305.32"/>
    <s v="679 Main St"/>
    <x v="1"/>
    <x v="1"/>
    <s v="TRK91525779"/>
    <n v="4"/>
    <s v="SAVE10"/>
    <s v="Google"/>
    <x v="937"/>
    <s v="Normal"/>
  </r>
  <r>
    <x v="941"/>
    <x v="15"/>
    <s v="C91155"/>
    <x v="4"/>
    <n v="5"/>
    <n v="111.7"/>
    <s v="599 Main St"/>
    <x v="2"/>
    <x v="1"/>
    <s v="TRK82162952"/>
    <n v="9"/>
    <s v="FREESHIP"/>
    <s v="Email"/>
    <x v="938"/>
    <s v="Normal"/>
  </r>
  <r>
    <x v="942"/>
    <x v="372"/>
    <s v="C17591"/>
    <x v="2"/>
    <n v="1"/>
    <n v="479.76"/>
    <s v="882 Main St"/>
    <x v="2"/>
    <x v="4"/>
    <s v="TRK56070470"/>
    <n v="1"/>
    <s v="No Coupon"/>
    <s v="Email"/>
    <x v="939"/>
    <s v="Normal"/>
  </r>
  <r>
    <x v="943"/>
    <x v="140"/>
    <s v="C43330"/>
    <x v="0"/>
    <n v="3"/>
    <n v="193.49"/>
    <s v="355 Main St"/>
    <x v="3"/>
    <x v="2"/>
    <s v="TRK71594838"/>
    <n v="6"/>
    <s v="FREESHIP"/>
    <s v="Facebook"/>
    <x v="940"/>
    <s v="Normal"/>
  </r>
  <r>
    <x v="944"/>
    <x v="393"/>
    <s v="C32687"/>
    <x v="5"/>
    <n v="2"/>
    <n v="426.22"/>
    <s v="448 Main St"/>
    <x v="1"/>
    <x v="3"/>
    <s v="TRK98284560"/>
    <n v="7"/>
    <s v="WINTER15"/>
    <s v="Google"/>
    <x v="941"/>
    <s v="Normal"/>
  </r>
  <r>
    <x v="945"/>
    <x v="38"/>
    <s v="C79722"/>
    <x v="2"/>
    <n v="5"/>
    <n v="276.44"/>
    <s v="619 Main St"/>
    <x v="3"/>
    <x v="0"/>
    <s v="TRK29976438"/>
    <n v="10"/>
    <s v="FREESHIP"/>
    <s v="Referral"/>
    <x v="942"/>
    <s v="Normal"/>
  </r>
  <r>
    <x v="946"/>
    <x v="598"/>
    <s v="C65021"/>
    <x v="1"/>
    <n v="2"/>
    <n v="404.96"/>
    <s v="546 Main St"/>
    <x v="4"/>
    <x v="0"/>
    <s v="TRK20626179"/>
    <n v="4"/>
    <s v="SAVE10"/>
    <s v="Email"/>
    <x v="943"/>
    <s v="Normal"/>
  </r>
  <r>
    <x v="947"/>
    <x v="599"/>
    <s v="C85520"/>
    <x v="1"/>
    <n v="4"/>
    <n v="465.66"/>
    <s v="119 Main St"/>
    <x v="1"/>
    <x v="2"/>
    <s v="TRK65994177"/>
    <n v="9"/>
    <s v="FREESHIP"/>
    <s v="Email"/>
    <x v="944"/>
    <s v="Normal"/>
  </r>
  <r>
    <x v="948"/>
    <x v="587"/>
    <s v="C94569"/>
    <x v="1"/>
    <n v="2"/>
    <n v="594.07000000000005"/>
    <s v="739 Main St"/>
    <x v="3"/>
    <x v="1"/>
    <s v="TRK79269291"/>
    <n v="2"/>
    <s v="No Coupon"/>
    <s v="Google"/>
    <x v="945"/>
    <s v="Normal"/>
  </r>
  <r>
    <x v="949"/>
    <x v="576"/>
    <s v="C55778"/>
    <x v="6"/>
    <n v="5"/>
    <n v="110.38"/>
    <s v="319 Main St"/>
    <x v="4"/>
    <x v="4"/>
    <s v="TRK93797108"/>
    <n v="10"/>
    <s v="No Coupon"/>
    <s v="Referral"/>
    <x v="946"/>
    <s v="Normal"/>
  </r>
  <r>
    <x v="950"/>
    <x v="583"/>
    <s v="C19722"/>
    <x v="5"/>
    <n v="1"/>
    <n v="596.24"/>
    <s v="891 Main St"/>
    <x v="2"/>
    <x v="2"/>
    <s v="TRK78094361"/>
    <n v="4"/>
    <s v="FREESHIP"/>
    <s v="Instagram"/>
    <x v="947"/>
    <s v="Normal"/>
  </r>
  <r>
    <x v="951"/>
    <x v="319"/>
    <s v="C74928"/>
    <x v="4"/>
    <n v="2"/>
    <n v="306.24"/>
    <s v="589 Main St"/>
    <x v="1"/>
    <x v="2"/>
    <s v="TRK39845914"/>
    <n v="4"/>
    <s v="FREESHIP"/>
    <s v="Email"/>
    <x v="948"/>
    <s v="Normal"/>
  </r>
  <r>
    <x v="952"/>
    <x v="37"/>
    <s v="C49111"/>
    <x v="0"/>
    <n v="3"/>
    <n v="503.39"/>
    <s v="225 Main St"/>
    <x v="1"/>
    <x v="4"/>
    <s v="TRK45303393"/>
    <n v="5"/>
    <s v="No Coupon"/>
    <s v="Facebook"/>
    <x v="949"/>
    <s v="Normal"/>
  </r>
  <r>
    <x v="953"/>
    <x v="600"/>
    <s v="C43721"/>
    <x v="1"/>
    <n v="1"/>
    <n v="131.61000000000001"/>
    <s v="971 Main St"/>
    <x v="4"/>
    <x v="0"/>
    <s v="TRK89392104"/>
    <n v="2"/>
    <s v="FREESHIP"/>
    <s v="Facebook"/>
    <x v="950"/>
    <s v="Normal"/>
  </r>
  <r>
    <x v="954"/>
    <x v="601"/>
    <s v="C68609"/>
    <x v="3"/>
    <n v="3"/>
    <n v="443.44"/>
    <s v="240 Main St"/>
    <x v="3"/>
    <x v="0"/>
    <s v="TRK58273778"/>
    <n v="3"/>
    <s v="FREESHIP"/>
    <s v="Google"/>
    <x v="951"/>
    <s v="Normal"/>
  </r>
  <r>
    <x v="955"/>
    <x v="19"/>
    <s v="C82068"/>
    <x v="3"/>
    <n v="1"/>
    <n v="408.13"/>
    <s v="164 Main St"/>
    <x v="3"/>
    <x v="0"/>
    <s v="TRK25779180"/>
    <n v="3"/>
    <s v="WINTER15"/>
    <s v="Instagram"/>
    <x v="952"/>
    <s v="Normal"/>
  </r>
  <r>
    <x v="956"/>
    <x v="166"/>
    <s v="C21191"/>
    <x v="1"/>
    <n v="2"/>
    <n v="160.97999999999999"/>
    <s v="381 Main St"/>
    <x v="0"/>
    <x v="3"/>
    <s v="TRK86246309"/>
    <n v="3"/>
    <s v="SAVE10"/>
    <s v="Referral"/>
    <x v="953"/>
    <s v="Normal"/>
  </r>
  <r>
    <x v="957"/>
    <x v="602"/>
    <s v="C73575"/>
    <x v="0"/>
    <n v="5"/>
    <n v="643.89"/>
    <s v="851 Main St"/>
    <x v="4"/>
    <x v="2"/>
    <s v="TRK23387612"/>
    <n v="8"/>
    <s v="WINTER15"/>
    <s v="Facebook"/>
    <x v="954"/>
    <s v="Normal"/>
  </r>
  <r>
    <x v="958"/>
    <x v="603"/>
    <s v="C82685"/>
    <x v="6"/>
    <n v="3"/>
    <n v="158.66"/>
    <s v="537 Main St"/>
    <x v="3"/>
    <x v="3"/>
    <s v="TRK70184320"/>
    <n v="7"/>
    <s v="WINTER15"/>
    <s v="Email"/>
    <x v="955"/>
    <s v="Normal"/>
  </r>
  <r>
    <x v="959"/>
    <x v="604"/>
    <s v="C73996"/>
    <x v="2"/>
    <n v="2"/>
    <n v="143.82"/>
    <s v="856 Main St"/>
    <x v="2"/>
    <x v="2"/>
    <s v="TRK74579570"/>
    <n v="6"/>
    <s v="SAVE10"/>
    <s v="Instagram"/>
    <x v="956"/>
    <s v="Normal"/>
  </r>
  <r>
    <x v="960"/>
    <x v="66"/>
    <s v="C87687"/>
    <x v="5"/>
    <n v="3"/>
    <n v="379.07"/>
    <s v="312 Main St"/>
    <x v="3"/>
    <x v="4"/>
    <s v="TRK60383805"/>
    <n v="3"/>
    <s v="WINTER15"/>
    <s v="Google"/>
    <x v="957"/>
    <s v="Normal"/>
  </r>
  <r>
    <x v="961"/>
    <x v="435"/>
    <s v="C55464"/>
    <x v="1"/>
    <n v="1"/>
    <n v="601.36"/>
    <s v="532 Main St"/>
    <x v="1"/>
    <x v="0"/>
    <s v="TRK81178598"/>
    <n v="1"/>
    <s v="No Coupon"/>
    <s v="Facebook"/>
    <x v="958"/>
    <s v="Normal"/>
  </r>
  <r>
    <x v="962"/>
    <x v="605"/>
    <s v="C12459"/>
    <x v="1"/>
    <n v="2"/>
    <n v="142.08000000000001"/>
    <s v="838 Main St"/>
    <x v="3"/>
    <x v="3"/>
    <s v="TRK30674085"/>
    <n v="4"/>
    <s v="SAVE10"/>
    <s v="Referral"/>
    <x v="959"/>
    <s v="Normal"/>
  </r>
  <r>
    <x v="963"/>
    <x v="606"/>
    <s v="C88075"/>
    <x v="3"/>
    <n v="5"/>
    <n v="530.34"/>
    <s v="970 Main St"/>
    <x v="1"/>
    <x v="0"/>
    <s v="TRK42832976"/>
    <n v="9"/>
    <s v="FREESHIP"/>
    <s v="Google"/>
    <x v="960"/>
    <s v="Normal"/>
  </r>
  <r>
    <x v="964"/>
    <x v="38"/>
    <s v="C18583"/>
    <x v="1"/>
    <n v="5"/>
    <n v="364.42"/>
    <s v="778 Main St"/>
    <x v="2"/>
    <x v="1"/>
    <s v="TRK43084595"/>
    <n v="10"/>
    <s v="SAVE10"/>
    <s v="Referral"/>
    <x v="961"/>
    <s v="Normal"/>
  </r>
  <r>
    <x v="965"/>
    <x v="607"/>
    <s v="C70412"/>
    <x v="5"/>
    <n v="4"/>
    <n v="578.28"/>
    <s v="791 Main St"/>
    <x v="3"/>
    <x v="1"/>
    <s v="TRK22192783"/>
    <n v="5"/>
    <s v="FREESHIP"/>
    <s v="Email"/>
    <x v="962"/>
    <s v="Normal"/>
  </r>
  <r>
    <x v="966"/>
    <x v="608"/>
    <s v="C58503"/>
    <x v="0"/>
    <n v="5"/>
    <n v="280.52"/>
    <s v="290 Main St"/>
    <x v="2"/>
    <x v="1"/>
    <s v="TRK12981657"/>
    <n v="7"/>
    <s v="WINTER15"/>
    <s v="Facebook"/>
    <x v="963"/>
    <s v="Normal"/>
  </r>
  <r>
    <x v="967"/>
    <x v="138"/>
    <s v="C52879"/>
    <x v="2"/>
    <n v="5"/>
    <n v="638.91999999999996"/>
    <s v="502 Main St"/>
    <x v="2"/>
    <x v="2"/>
    <s v="TRK67403284"/>
    <n v="5"/>
    <s v="FREESHIP"/>
    <s v="Google"/>
    <x v="964"/>
    <s v="Normal"/>
  </r>
  <r>
    <x v="968"/>
    <x v="458"/>
    <s v="C67870"/>
    <x v="0"/>
    <n v="4"/>
    <n v="412.2"/>
    <s v="664 Main St"/>
    <x v="2"/>
    <x v="0"/>
    <s v="TRK72602178"/>
    <n v="6"/>
    <s v="WINTER15"/>
    <s v="Referral"/>
    <x v="965"/>
    <s v="Normal"/>
  </r>
  <r>
    <x v="969"/>
    <x v="85"/>
    <s v="C19439"/>
    <x v="6"/>
    <n v="1"/>
    <n v="440.34"/>
    <s v="675 Main St"/>
    <x v="3"/>
    <x v="0"/>
    <s v="TRK25383993"/>
    <n v="2"/>
    <s v="WINTER15"/>
    <s v="Facebook"/>
    <x v="966"/>
    <s v="Normal"/>
  </r>
  <r>
    <x v="970"/>
    <x v="609"/>
    <s v="C72664"/>
    <x v="6"/>
    <n v="1"/>
    <n v="627.15"/>
    <s v="241 Main St"/>
    <x v="4"/>
    <x v="3"/>
    <s v="TRK86694331"/>
    <n v="5"/>
    <s v="SAVE10"/>
    <s v="Instagram"/>
    <x v="967"/>
    <s v="Normal"/>
  </r>
  <r>
    <x v="971"/>
    <x v="582"/>
    <s v="C32650"/>
    <x v="0"/>
    <n v="2"/>
    <n v="605.26"/>
    <s v="934 Main St"/>
    <x v="4"/>
    <x v="1"/>
    <s v="TRK66648743"/>
    <n v="4"/>
    <s v="WINTER15"/>
    <s v="Referral"/>
    <x v="968"/>
    <s v="Normal"/>
  </r>
  <r>
    <x v="972"/>
    <x v="410"/>
    <s v="C66438"/>
    <x v="5"/>
    <n v="1"/>
    <n v="90.27"/>
    <s v="816 Main St"/>
    <x v="4"/>
    <x v="3"/>
    <s v="TRK32035271"/>
    <n v="5"/>
    <s v="SAVE10"/>
    <s v="Facebook"/>
    <x v="969"/>
    <s v="Normal"/>
  </r>
  <r>
    <x v="973"/>
    <x v="559"/>
    <s v="C70010"/>
    <x v="6"/>
    <n v="5"/>
    <n v="230.77"/>
    <s v="141 Main St"/>
    <x v="1"/>
    <x v="4"/>
    <s v="TRK50594008"/>
    <n v="10"/>
    <s v="WINTER15"/>
    <s v="Referral"/>
    <x v="970"/>
    <s v="Normal"/>
  </r>
  <r>
    <x v="974"/>
    <x v="610"/>
    <s v="C30722"/>
    <x v="6"/>
    <n v="5"/>
    <n v="266.77999999999997"/>
    <s v="274 Main St"/>
    <x v="3"/>
    <x v="1"/>
    <s v="TRK52088168"/>
    <n v="5"/>
    <s v="No Coupon"/>
    <s v="Email"/>
    <x v="971"/>
    <s v="Normal"/>
  </r>
  <r>
    <x v="975"/>
    <x v="419"/>
    <s v="C70529"/>
    <x v="6"/>
    <n v="1"/>
    <n v="105.92"/>
    <s v="974 Main St"/>
    <x v="3"/>
    <x v="2"/>
    <s v="TRK82165408"/>
    <n v="6"/>
    <s v="SAVE10"/>
    <s v="Email"/>
    <x v="972"/>
    <s v="Normal"/>
  </r>
  <r>
    <x v="976"/>
    <x v="172"/>
    <s v="C18984"/>
    <x v="2"/>
    <n v="3"/>
    <n v="589.29999999999995"/>
    <s v="650 Main St"/>
    <x v="2"/>
    <x v="2"/>
    <s v="TRK49298239"/>
    <n v="6"/>
    <s v="WINTER15"/>
    <s v="Referral"/>
    <x v="973"/>
    <s v="Normal"/>
  </r>
  <r>
    <x v="977"/>
    <x v="423"/>
    <s v="C85841"/>
    <x v="3"/>
    <n v="4"/>
    <n v="649.47"/>
    <s v="608 Main St"/>
    <x v="4"/>
    <x v="4"/>
    <s v="TRK99820544"/>
    <n v="8"/>
    <s v="SAVE10"/>
    <s v="Google"/>
    <x v="974"/>
    <s v="Normal"/>
  </r>
  <r>
    <x v="978"/>
    <x v="611"/>
    <s v="C41508"/>
    <x v="4"/>
    <n v="4"/>
    <n v="107.49"/>
    <s v="993 Main St"/>
    <x v="4"/>
    <x v="3"/>
    <s v="TRK61047536"/>
    <n v="5"/>
    <s v="No Coupon"/>
    <s v="Google"/>
    <x v="975"/>
    <s v="Normal"/>
  </r>
  <r>
    <x v="979"/>
    <x v="546"/>
    <s v="C75018"/>
    <x v="0"/>
    <n v="3"/>
    <n v="669.06"/>
    <s v="299 Main St"/>
    <x v="4"/>
    <x v="3"/>
    <s v="TRK51794806"/>
    <n v="7"/>
    <s v="SAVE10"/>
    <s v="Facebook"/>
    <x v="976"/>
    <s v="Normal"/>
  </r>
  <r>
    <x v="980"/>
    <x v="612"/>
    <s v="C84320"/>
    <x v="3"/>
    <n v="3"/>
    <n v="69.650000000000006"/>
    <s v="107 Main St"/>
    <x v="4"/>
    <x v="3"/>
    <s v="TRK81093218"/>
    <n v="7"/>
    <s v="WINTER15"/>
    <s v="Instagram"/>
    <x v="977"/>
    <s v="Normal"/>
  </r>
  <r>
    <x v="981"/>
    <x v="371"/>
    <s v="C12609"/>
    <x v="1"/>
    <n v="4"/>
    <n v="136.83000000000001"/>
    <s v="490 Main St"/>
    <x v="0"/>
    <x v="4"/>
    <s v="TRK56379337"/>
    <n v="8"/>
    <s v="SAVE10"/>
    <s v="Email"/>
    <x v="978"/>
    <s v="Normal"/>
  </r>
  <r>
    <x v="982"/>
    <x v="605"/>
    <s v="C64935"/>
    <x v="0"/>
    <n v="1"/>
    <n v="304.11"/>
    <s v="707 Main St"/>
    <x v="3"/>
    <x v="0"/>
    <s v="TRK42969065"/>
    <n v="2"/>
    <s v="SAVE10"/>
    <s v="Referral"/>
    <x v="979"/>
    <s v="Normal"/>
  </r>
  <r>
    <x v="983"/>
    <x v="167"/>
    <s v="C67528"/>
    <x v="0"/>
    <n v="4"/>
    <n v="296.27999999999997"/>
    <s v="110 Main St"/>
    <x v="3"/>
    <x v="0"/>
    <s v="TRK60865210"/>
    <n v="5"/>
    <s v="SAVE10"/>
    <s v="Email"/>
    <x v="980"/>
    <s v="Normal"/>
  </r>
  <r>
    <x v="984"/>
    <x v="252"/>
    <s v="C44176"/>
    <x v="6"/>
    <n v="1"/>
    <n v="77.64"/>
    <s v="706 Main St"/>
    <x v="2"/>
    <x v="0"/>
    <s v="TRK68704764"/>
    <n v="1"/>
    <s v="FREESHIP"/>
    <s v="Facebook"/>
    <x v="981"/>
    <s v="Normal"/>
  </r>
  <r>
    <x v="985"/>
    <x v="351"/>
    <s v="C92788"/>
    <x v="6"/>
    <n v="1"/>
    <n v="243.71"/>
    <s v="948 Main St"/>
    <x v="3"/>
    <x v="3"/>
    <s v="TRK83835361"/>
    <n v="6"/>
    <s v="SAVE10"/>
    <s v="Google"/>
    <x v="982"/>
    <s v="Normal"/>
  </r>
  <r>
    <x v="986"/>
    <x v="609"/>
    <s v="C69213"/>
    <x v="5"/>
    <n v="4"/>
    <n v="644.96"/>
    <s v="533 Main St"/>
    <x v="2"/>
    <x v="4"/>
    <s v="TRK67837331"/>
    <n v="7"/>
    <s v="FREESHIP"/>
    <s v="Email"/>
    <x v="983"/>
    <s v="Normal"/>
  </r>
  <r>
    <x v="987"/>
    <x v="85"/>
    <s v="C67387"/>
    <x v="1"/>
    <n v="5"/>
    <n v="283.73"/>
    <s v="436 Main St"/>
    <x v="3"/>
    <x v="4"/>
    <s v="TRK54120003"/>
    <n v="8"/>
    <s v="FREESHIP"/>
    <s v="Instagram"/>
    <x v="984"/>
    <s v="Normal"/>
  </r>
  <r>
    <x v="988"/>
    <x v="496"/>
    <s v="C90318"/>
    <x v="6"/>
    <n v="2"/>
    <n v="629.55999999999995"/>
    <s v="818 Main St"/>
    <x v="3"/>
    <x v="1"/>
    <s v="TRK52765043"/>
    <n v="5"/>
    <s v="WINTER15"/>
    <s v="Instagram"/>
    <x v="985"/>
    <s v="Normal"/>
  </r>
  <r>
    <x v="989"/>
    <x v="613"/>
    <s v="C49995"/>
    <x v="5"/>
    <n v="4"/>
    <n v="246.11"/>
    <s v="559 Main St"/>
    <x v="2"/>
    <x v="4"/>
    <s v="TRK33212013"/>
    <n v="4"/>
    <s v="SAVE10"/>
    <s v="Instagram"/>
    <x v="986"/>
    <s v="Normal"/>
  </r>
  <r>
    <x v="990"/>
    <x v="614"/>
    <s v="C52313"/>
    <x v="1"/>
    <n v="2"/>
    <n v="418.26"/>
    <s v="913 Main St"/>
    <x v="0"/>
    <x v="4"/>
    <s v="TRK67368559"/>
    <n v="2"/>
    <s v="SAVE10"/>
    <s v="Google"/>
    <x v="987"/>
    <s v="Normal"/>
  </r>
  <r>
    <x v="991"/>
    <x v="593"/>
    <s v="C10211"/>
    <x v="6"/>
    <n v="5"/>
    <n v="127.18"/>
    <s v="598 Main St"/>
    <x v="0"/>
    <x v="1"/>
    <s v="TRK68938335"/>
    <n v="10"/>
    <s v="FREESHIP"/>
    <s v="Google"/>
    <x v="66"/>
    <s v="Normal"/>
  </r>
  <r>
    <x v="992"/>
    <x v="615"/>
    <s v="C97907"/>
    <x v="4"/>
    <n v="3"/>
    <n v="586.21"/>
    <s v="933 Main St"/>
    <x v="3"/>
    <x v="4"/>
    <s v="TRK89637569"/>
    <n v="4"/>
    <s v="WINTER15"/>
    <s v="Referral"/>
    <x v="988"/>
    <s v="Normal"/>
  </r>
  <r>
    <x v="993"/>
    <x v="616"/>
    <s v="C61384"/>
    <x v="0"/>
    <n v="3"/>
    <n v="267.45"/>
    <s v="576 Main St"/>
    <x v="3"/>
    <x v="3"/>
    <s v="TRK33323210"/>
    <n v="5"/>
    <s v="WINTER15"/>
    <s v="Instagram"/>
    <x v="989"/>
    <s v="Normal"/>
  </r>
  <r>
    <x v="994"/>
    <x v="326"/>
    <s v="C27613"/>
    <x v="2"/>
    <n v="4"/>
    <n v="615.65"/>
    <s v="971 Main St"/>
    <x v="0"/>
    <x v="3"/>
    <s v="TRK63701318"/>
    <n v="9"/>
    <s v="WINTER15"/>
    <s v="Google"/>
    <x v="990"/>
    <s v="Normal"/>
  </r>
  <r>
    <x v="995"/>
    <x v="134"/>
    <s v="C99271"/>
    <x v="0"/>
    <n v="2"/>
    <n v="113.29"/>
    <s v="959 Main St"/>
    <x v="4"/>
    <x v="4"/>
    <s v="TRK87832736"/>
    <n v="5"/>
    <s v="SAVE10"/>
    <s v="Facebook"/>
    <x v="991"/>
    <s v="Normal"/>
  </r>
  <r>
    <x v="996"/>
    <x v="578"/>
    <s v="C28648"/>
    <x v="0"/>
    <n v="4"/>
    <n v="473.86"/>
    <s v="101 Main St"/>
    <x v="0"/>
    <x v="3"/>
    <s v="TRK92240846"/>
    <n v="7"/>
    <s v="SAVE10"/>
    <s v="Facebook"/>
    <x v="992"/>
    <s v="Normal"/>
  </r>
  <r>
    <x v="997"/>
    <x v="110"/>
    <s v="C26210"/>
    <x v="5"/>
    <n v="3"/>
    <n v="444.75"/>
    <s v="805 Main St"/>
    <x v="4"/>
    <x v="3"/>
    <s v="TRK40616861"/>
    <n v="6"/>
    <s v="SAVE10"/>
    <s v="Facebook"/>
    <x v="993"/>
    <s v="Normal"/>
  </r>
  <r>
    <x v="998"/>
    <x v="213"/>
    <s v="C90350"/>
    <x v="1"/>
    <n v="2"/>
    <n v="183.67"/>
    <s v="783 Main St"/>
    <x v="0"/>
    <x v="1"/>
    <s v="TRK22824230"/>
    <n v="6"/>
    <s v="SAVE10"/>
    <s v="Google"/>
    <x v="357"/>
    <s v="Normal"/>
  </r>
  <r>
    <x v="999"/>
    <x v="478"/>
    <s v="C61957"/>
    <x v="4"/>
    <n v="1"/>
    <n v="483.38"/>
    <s v="652 Main St"/>
    <x v="4"/>
    <x v="4"/>
    <s v="TRK43983841"/>
    <n v="6"/>
    <s v="FREESHIP"/>
    <s v="Google"/>
    <x v="994"/>
    <s v="Normal"/>
  </r>
  <r>
    <x v="1000"/>
    <x v="617"/>
    <s v="C90132"/>
    <x v="4"/>
    <n v="5"/>
    <n v="260.93"/>
    <s v="582 Main St"/>
    <x v="1"/>
    <x v="3"/>
    <s v="TRK52664903"/>
    <n v="9"/>
    <s v="SAVE10"/>
    <s v="Email"/>
    <x v="995"/>
    <s v="Normal"/>
  </r>
  <r>
    <x v="1001"/>
    <x v="618"/>
    <s v="C31371"/>
    <x v="4"/>
    <n v="2"/>
    <n v="253.68"/>
    <s v="122 Main St"/>
    <x v="3"/>
    <x v="0"/>
    <s v="TRK19554327"/>
    <n v="6"/>
    <s v="No Coupon"/>
    <s v="Referral"/>
    <x v="996"/>
    <s v="Normal"/>
  </r>
  <r>
    <x v="1002"/>
    <x v="619"/>
    <s v="C83911"/>
    <x v="2"/>
    <n v="4"/>
    <n v="699.88"/>
    <s v="944 Main St"/>
    <x v="4"/>
    <x v="4"/>
    <s v="TRK33188106"/>
    <n v="5"/>
    <s v="WINTER15"/>
    <s v="Referral"/>
    <x v="997"/>
    <s v="Normal"/>
  </r>
  <r>
    <x v="1003"/>
    <x v="348"/>
    <s v="C84700"/>
    <x v="4"/>
    <n v="5"/>
    <n v="319.97000000000003"/>
    <s v="582 Main St"/>
    <x v="4"/>
    <x v="0"/>
    <s v="TRK14706969"/>
    <n v="7"/>
    <s v="SAVE10"/>
    <s v="Google"/>
    <x v="998"/>
    <s v="Normal"/>
  </r>
  <r>
    <x v="1004"/>
    <x v="559"/>
    <s v="C87529"/>
    <x v="3"/>
    <n v="4"/>
    <n v="246.91"/>
    <s v="296 Main St"/>
    <x v="1"/>
    <x v="4"/>
    <s v="TRK15739505"/>
    <n v="8"/>
    <s v="SAVE10"/>
    <s v="Referral"/>
    <x v="999"/>
    <s v="Normal"/>
  </r>
  <r>
    <x v="1005"/>
    <x v="521"/>
    <s v="C38065"/>
    <x v="4"/>
    <n v="3"/>
    <n v="392.85"/>
    <s v="426 Main St"/>
    <x v="2"/>
    <x v="2"/>
    <s v="TRK11448295"/>
    <n v="6"/>
    <s v="No Coupon"/>
    <s v="Google"/>
    <x v="1000"/>
    <s v="Normal"/>
  </r>
  <r>
    <x v="1006"/>
    <x v="582"/>
    <s v="C27435"/>
    <x v="2"/>
    <n v="5"/>
    <n v="420.98"/>
    <s v="860 Main St"/>
    <x v="4"/>
    <x v="3"/>
    <s v="TRK91458233"/>
    <n v="7"/>
    <s v="SAVE10"/>
    <s v="Facebook"/>
    <x v="1001"/>
    <s v="Normal"/>
  </r>
  <r>
    <x v="1007"/>
    <x v="591"/>
    <s v="C46651"/>
    <x v="0"/>
    <n v="2"/>
    <n v="73.260000000000005"/>
    <s v="839 Main St"/>
    <x v="4"/>
    <x v="4"/>
    <s v="TRK60444502"/>
    <n v="4"/>
    <s v="WINTER15"/>
    <s v="Facebook"/>
    <x v="1002"/>
    <s v="Normal"/>
  </r>
  <r>
    <x v="1008"/>
    <x v="620"/>
    <s v="C62557"/>
    <x v="0"/>
    <n v="3"/>
    <n v="410.88"/>
    <s v="257 Main St"/>
    <x v="4"/>
    <x v="3"/>
    <s v="TRK12742366"/>
    <n v="8"/>
    <s v="FREESHIP"/>
    <s v="Instagram"/>
    <x v="1003"/>
    <s v="Normal"/>
  </r>
  <r>
    <x v="1009"/>
    <x v="621"/>
    <s v="C54494"/>
    <x v="2"/>
    <n v="2"/>
    <n v="176.46"/>
    <s v="696 Main St"/>
    <x v="2"/>
    <x v="3"/>
    <s v="TRK95958645"/>
    <n v="2"/>
    <s v="FREESHIP"/>
    <s v="Email"/>
    <x v="1004"/>
    <s v="Normal"/>
  </r>
  <r>
    <x v="1010"/>
    <x v="622"/>
    <s v="C33729"/>
    <x v="0"/>
    <n v="3"/>
    <n v="659.57"/>
    <s v="533 Main St"/>
    <x v="2"/>
    <x v="1"/>
    <s v="TRK35649833"/>
    <n v="6"/>
    <s v="SAVE10"/>
    <s v="Email"/>
    <x v="1005"/>
    <s v="Normal"/>
  </r>
  <r>
    <x v="1011"/>
    <x v="623"/>
    <s v="C47823"/>
    <x v="1"/>
    <n v="2"/>
    <n v="478.36"/>
    <s v="654 Main St"/>
    <x v="1"/>
    <x v="0"/>
    <s v="TRK22271097"/>
    <n v="3"/>
    <s v="No Coupon"/>
    <s v="Google"/>
    <x v="1006"/>
    <s v="Normal"/>
  </r>
  <r>
    <x v="1012"/>
    <x v="623"/>
    <s v="C84570"/>
    <x v="4"/>
    <n v="4"/>
    <n v="30.05"/>
    <s v="301 Main St"/>
    <x v="1"/>
    <x v="2"/>
    <s v="TRK12551882"/>
    <n v="6"/>
    <s v="No Coupon"/>
    <s v="Facebook"/>
    <x v="1007"/>
    <s v="Normal"/>
  </r>
  <r>
    <x v="1013"/>
    <x v="624"/>
    <s v="C91123"/>
    <x v="5"/>
    <n v="4"/>
    <n v="300.56"/>
    <s v="842 Main St"/>
    <x v="4"/>
    <x v="1"/>
    <s v="TRK49568409"/>
    <n v="9"/>
    <s v="FREESHIP"/>
    <s v="Facebook"/>
    <x v="1008"/>
    <s v="Normal"/>
  </r>
  <r>
    <x v="1014"/>
    <x v="389"/>
    <s v="C92548"/>
    <x v="2"/>
    <n v="5"/>
    <n v="226.45"/>
    <s v="160 Main St"/>
    <x v="0"/>
    <x v="2"/>
    <s v="TRK21682892"/>
    <n v="6"/>
    <s v="FREESHIP"/>
    <s v="Email"/>
    <x v="1009"/>
    <s v="Normal"/>
  </r>
  <r>
    <x v="1015"/>
    <x v="547"/>
    <s v="C97454"/>
    <x v="4"/>
    <n v="2"/>
    <n v="349.4"/>
    <s v="892 Main St"/>
    <x v="1"/>
    <x v="0"/>
    <s v="TRK73249329"/>
    <n v="2"/>
    <s v="SAVE10"/>
    <s v="Instagram"/>
    <x v="1010"/>
    <s v="Normal"/>
  </r>
  <r>
    <x v="1016"/>
    <x v="10"/>
    <s v="C20257"/>
    <x v="2"/>
    <n v="5"/>
    <n v="268.77999999999997"/>
    <s v="669 Main St"/>
    <x v="0"/>
    <x v="3"/>
    <s v="TRK62135578"/>
    <n v="7"/>
    <s v="WINTER15"/>
    <s v="Email"/>
    <x v="1011"/>
    <s v="Normal"/>
  </r>
  <r>
    <x v="1017"/>
    <x v="625"/>
    <s v="C51694"/>
    <x v="3"/>
    <n v="2"/>
    <n v="680.85"/>
    <s v="953 Main St"/>
    <x v="3"/>
    <x v="3"/>
    <s v="TRK83122112"/>
    <n v="6"/>
    <s v="FREESHIP"/>
    <s v="Referral"/>
    <x v="1012"/>
    <s v="Normal"/>
  </r>
  <r>
    <x v="1018"/>
    <x v="307"/>
    <s v="C77499"/>
    <x v="5"/>
    <n v="3"/>
    <n v="182.48"/>
    <s v="209 Main St"/>
    <x v="4"/>
    <x v="3"/>
    <s v="TRK20703086"/>
    <n v="3"/>
    <s v="No Coupon"/>
    <s v="Instagram"/>
    <x v="1013"/>
    <s v="Normal"/>
  </r>
  <r>
    <x v="1019"/>
    <x v="616"/>
    <s v="C28386"/>
    <x v="6"/>
    <n v="1"/>
    <n v="277.08999999999997"/>
    <s v="293 Main St"/>
    <x v="4"/>
    <x v="2"/>
    <s v="TRK32954229"/>
    <n v="2"/>
    <s v="SAVE10"/>
    <s v="Referral"/>
    <x v="1014"/>
    <s v="Normal"/>
  </r>
  <r>
    <x v="1020"/>
    <x v="181"/>
    <s v="C50211"/>
    <x v="2"/>
    <n v="2"/>
    <n v="26.5"/>
    <s v="312 Main St"/>
    <x v="1"/>
    <x v="3"/>
    <s v="TRK47787981"/>
    <n v="3"/>
    <s v="SAVE10"/>
    <s v="Instagram"/>
    <x v="1015"/>
    <s v="Normal"/>
  </r>
  <r>
    <x v="1021"/>
    <x v="5"/>
    <s v="C74519"/>
    <x v="1"/>
    <n v="3"/>
    <n v="315.27"/>
    <s v="309 Main St"/>
    <x v="2"/>
    <x v="1"/>
    <s v="TRK97351945"/>
    <n v="4"/>
    <s v="SAVE10"/>
    <s v="Email"/>
    <x v="1016"/>
    <s v="Normal"/>
  </r>
  <r>
    <x v="1022"/>
    <x v="522"/>
    <s v="C19071"/>
    <x v="2"/>
    <n v="3"/>
    <n v="450.98"/>
    <s v="396 Main St"/>
    <x v="2"/>
    <x v="0"/>
    <s v="TRK66537096"/>
    <n v="8"/>
    <s v="SAVE10"/>
    <s v="Referral"/>
    <x v="1017"/>
    <s v="Normal"/>
  </r>
  <r>
    <x v="1023"/>
    <x v="296"/>
    <s v="C65251"/>
    <x v="5"/>
    <n v="5"/>
    <n v="233.67"/>
    <s v="291 Main St"/>
    <x v="4"/>
    <x v="0"/>
    <s v="TRK32059025"/>
    <n v="10"/>
    <s v="No Coupon"/>
    <s v="Referral"/>
    <x v="1018"/>
    <s v="Normal"/>
  </r>
  <r>
    <x v="1024"/>
    <x v="412"/>
    <s v="C90612"/>
    <x v="3"/>
    <n v="3"/>
    <n v="367.75"/>
    <s v="731 Main St"/>
    <x v="4"/>
    <x v="4"/>
    <s v="TRK93022878"/>
    <n v="7"/>
    <s v="FREESHIP"/>
    <s v="Facebook"/>
    <x v="1019"/>
    <s v="Normal"/>
  </r>
  <r>
    <x v="1025"/>
    <x v="271"/>
    <s v="C28406"/>
    <x v="3"/>
    <n v="1"/>
    <n v="23.53"/>
    <s v="174 Main St"/>
    <x v="3"/>
    <x v="3"/>
    <s v="TRK98841457"/>
    <n v="2"/>
    <s v="FREESHIP"/>
    <s v="Instagram"/>
    <x v="1020"/>
    <s v="Normal"/>
  </r>
  <r>
    <x v="1026"/>
    <x v="31"/>
    <s v="C55454"/>
    <x v="0"/>
    <n v="1"/>
    <n v="677.48"/>
    <s v="807 Main St"/>
    <x v="1"/>
    <x v="3"/>
    <s v="TRK13281370"/>
    <n v="1"/>
    <s v="WINTER15"/>
    <s v="Facebook"/>
    <x v="1021"/>
    <s v="Normal"/>
  </r>
  <r>
    <x v="1027"/>
    <x v="626"/>
    <s v="C93467"/>
    <x v="5"/>
    <n v="4"/>
    <n v="554.83000000000004"/>
    <s v="983 Main St"/>
    <x v="4"/>
    <x v="2"/>
    <s v="TRK77377373"/>
    <n v="6"/>
    <s v="No Coupon"/>
    <s v="Google"/>
    <x v="1022"/>
    <s v="Normal"/>
  </r>
  <r>
    <x v="1028"/>
    <x v="96"/>
    <s v="C60042"/>
    <x v="6"/>
    <n v="4"/>
    <n v="440.31"/>
    <s v="610 Main St"/>
    <x v="4"/>
    <x v="1"/>
    <s v="TRK84651559"/>
    <n v="6"/>
    <s v="No Coupon"/>
    <s v="Instagram"/>
    <x v="1023"/>
    <s v="Normal"/>
  </r>
  <r>
    <x v="1029"/>
    <x v="627"/>
    <s v="C44733"/>
    <x v="6"/>
    <n v="1"/>
    <n v="87.06"/>
    <s v="851 Main St"/>
    <x v="2"/>
    <x v="0"/>
    <s v="TRK41500198"/>
    <n v="4"/>
    <s v="FREESHIP"/>
    <s v="Email"/>
    <x v="1024"/>
    <s v="Normal"/>
  </r>
  <r>
    <x v="1030"/>
    <x v="276"/>
    <s v="C61773"/>
    <x v="1"/>
    <n v="4"/>
    <n v="245.28"/>
    <s v="176 Main St"/>
    <x v="2"/>
    <x v="3"/>
    <s v="TRK12936357"/>
    <n v="6"/>
    <s v="WINTER15"/>
    <s v="Email"/>
    <x v="1025"/>
    <s v="Normal"/>
  </r>
  <r>
    <x v="1031"/>
    <x v="285"/>
    <s v="C59183"/>
    <x v="1"/>
    <n v="5"/>
    <n v="664.51"/>
    <s v="136 Main St"/>
    <x v="0"/>
    <x v="4"/>
    <s v="TRK18129706"/>
    <n v="8"/>
    <s v="SAVE10"/>
    <s v="Email"/>
    <x v="1026"/>
    <s v="Normal"/>
  </r>
  <r>
    <x v="1032"/>
    <x v="197"/>
    <s v="C26188"/>
    <x v="3"/>
    <n v="1"/>
    <n v="618.67999999999995"/>
    <s v="990 Main St"/>
    <x v="1"/>
    <x v="3"/>
    <s v="TRK61634201"/>
    <n v="6"/>
    <s v="WINTER15"/>
    <s v="Referral"/>
    <x v="1027"/>
    <s v="Normal"/>
  </r>
  <r>
    <x v="1033"/>
    <x v="628"/>
    <s v="C20338"/>
    <x v="0"/>
    <n v="1"/>
    <n v="370.85"/>
    <s v="331 Main St"/>
    <x v="3"/>
    <x v="3"/>
    <s v="TRK30654048"/>
    <n v="2"/>
    <s v="FREESHIP"/>
    <s v="Referral"/>
    <x v="1028"/>
    <s v="Normal"/>
  </r>
  <r>
    <x v="1034"/>
    <x v="452"/>
    <s v="C84524"/>
    <x v="4"/>
    <n v="4"/>
    <n v="517.98"/>
    <s v="766 Main St"/>
    <x v="4"/>
    <x v="1"/>
    <s v="TRK76751888"/>
    <n v="8"/>
    <s v="FREESHIP"/>
    <s v="Facebook"/>
    <x v="1029"/>
    <s v="Normal"/>
  </r>
  <r>
    <x v="1035"/>
    <x v="629"/>
    <s v="C70315"/>
    <x v="5"/>
    <n v="4"/>
    <n v="506.11"/>
    <s v="911 Main St"/>
    <x v="4"/>
    <x v="1"/>
    <s v="TRK97732085"/>
    <n v="5"/>
    <s v="No Coupon"/>
    <s v="Referral"/>
    <x v="1030"/>
    <s v="Normal"/>
  </r>
  <r>
    <x v="1036"/>
    <x v="583"/>
    <s v="C98278"/>
    <x v="1"/>
    <n v="3"/>
    <n v="413.83"/>
    <s v="552 Main St"/>
    <x v="3"/>
    <x v="0"/>
    <s v="TRK49684737"/>
    <n v="8"/>
    <s v="SAVE10"/>
    <s v="Facebook"/>
    <x v="1031"/>
    <s v="Normal"/>
  </r>
  <r>
    <x v="1037"/>
    <x v="141"/>
    <s v="C32347"/>
    <x v="4"/>
    <n v="1"/>
    <n v="249.81"/>
    <s v="408 Main St"/>
    <x v="4"/>
    <x v="4"/>
    <s v="TRK54073964"/>
    <n v="1"/>
    <s v="SAVE10"/>
    <s v="Google"/>
    <x v="1032"/>
    <s v="Normal"/>
  </r>
  <r>
    <x v="1038"/>
    <x v="175"/>
    <s v="C77961"/>
    <x v="2"/>
    <n v="3"/>
    <n v="362.53"/>
    <s v="422 Main St"/>
    <x v="0"/>
    <x v="2"/>
    <s v="TRK28969024"/>
    <n v="5"/>
    <s v="No Coupon"/>
    <s v="Facebook"/>
    <x v="1033"/>
    <s v="Normal"/>
  </r>
  <r>
    <x v="1039"/>
    <x v="164"/>
    <s v="C49137"/>
    <x v="6"/>
    <n v="2"/>
    <n v="299.23"/>
    <s v="177 Main St"/>
    <x v="2"/>
    <x v="1"/>
    <s v="TRK79362428"/>
    <n v="2"/>
    <s v="WINTER15"/>
    <s v="Instagram"/>
    <x v="1034"/>
    <s v="Normal"/>
  </r>
  <r>
    <x v="1040"/>
    <x v="375"/>
    <s v="C13169"/>
    <x v="2"/>
    <n v="1"/>
    <n v="536.07000000000005"/>
    <s v="932 Main St"/>
    <x v="0"/>
    <x v="3"/>
    <s v="TRK66288666"/>
    <n v="5"/>
    <s v="FREESHIP"/>
    <s v="Google"/>
    <x v="1035"/>
    <s v="Normal"/>
  </r>
  <r>
    <x v="1041"/>
    <x v="91"/>
    <s v="C21167"/>
    <x v="0"/>
    <n v="4"/>
    <n v="558.9"/>
    <s v="948 Main St"/>
    <x v="3"/>
    <x v="0"/>
    <s v="TRK97737564"/>
    <n v="9"/>
    <s v="WINTER15"/>
    <s v="Google"/>
    <x v="1036"/>
    <s v="Normal"/>
  </r>
  <r>
    <x v="1042"/>
    <x v="65"/>
    <s v="C59724"/>
    <x v="2"/>
    <n v="2"/>
    <n v="409.75"/>
    <s v="414 Main St"/>
    <x v="0"/>
    <x v="0"/>
    <s v="TRK67878272"/>
    <n v="2"/>
    <s v="WINTER15"/>
    <s v="Facebook"/>
    <x v="1037"/>
    <s v="Normal"/>
  </r>
  <r>
    <x v="1043"/>
    <x v="630"/>
    <s v="C43965"/>
    <x v="2"/>
    <n v="2"/>
    <n v="179.96"/>
    <s v="675 Main St"/>
    <x v="3"/>
    <x v="0"/>
    <s v="TRK94346739"/>
    <n v="5"/>
    <s v="No Coupon"/>
    <s v="Instagram"/>
    <x v="1038"/>
    <s v="Normal"/>
  </r>
  <r>
    <x v="1044"/>
    <x v="450"/>
    <s v="C63018"/>
    <x v="4"/>
    <n v="1"/>
    <n v="38.49"/>
    <s v="215 Main St"/>
    <x v="2"/>
    <x v="3"/>
    <s v="TRK52335337"/>
    <n v="4"/>
    <s v="FREESHIP"/>
    <s v="Referral"/>
    <x v="1039"/>
    <s v="Normal"/>
  </r>
  <r>
    <x v="1045"/>
    <x v="28"/>
    <s v="C11893"/>
    <x v="5"/>
    <n v="5"/>
    <n v="316.39999999999998"/>
    <s v="671 Main St"/>
    <x v="3"/>
    <x v="2"/>
    <s v="TRK72012758"/>
    <n v="7"/>
    <s v="No Coupon"/>
    <s v="Email"/>
    <x v="1040"/>
    <s v="Normal"/>
  </r>
  <r>
    <x v="1046"/>
    <x v="550"/>
    <s v="C85421"/>
    <x v="2"/>
    <n v="3"/>
    <n v="547.15"/>
    <s v="466 Main St"/>
    <x v="1"/>
    <x v="0"/>
    <s v="TRK16524006"/>
    <n v="4"/>
    <s v="WINTER15"/>
    <s v="Instagram"/>
    <x v="1041"/>
    <s v="Normal"/>
  </r>
  <r>
    <x v="1047"/>
    <x v="467"/>
    <s v="C81726"/>
    <x v="3"/>
    <n v="4"/>
    <n v="540.34"/>
    <s v="394 Main St"/>
    <x v="3"/>
    <x v="0"/>
    <s v="TRK69872994"/>
    <n v="6"/>
    <s v="WINTER15"/>
    <s v="Referral"/>
    <x v="1042"/>
    <s v="Normal"/>
  </r>
  <r>
    <x v="1048"/>
    <x v="82"/>
    <s v="C57601"/>
    <x v="0"/>
    <n v="4"/>
    <n v="73.650000000000006"/>
    <s v="889 Main St"/>
    <x v="0"/>
    <x v="0"/>
    <s v="TRK21153699"/>
    <n v="9"/>
    <s v="No Coupon"/>
    <s v="Google"/>
    <x v="1043"/>
    <s v="Normal"/>
  </r>
  <r>
    <x v="1049"/>
    <x v="408"/>
    <s v="C60575"/>
    <x v="6"/>
    <n v="5"/>
    <n v="391.86"/>
    <s v="587 Main St"/>
    <x v="2"/>
    <x v="0"/>
    <s v="TRK44468232"/>
    <n v="6"/>
    <s v="No Coupon"/>
    <s v="Instagram"/>
    <x v="1044"/>
    <s v="Normal"/>
  </r>
  <r>
    <x v="1050"/>
    <x v="38"/>
    <s v="C70659"/>
    <x v="5"/>
    <n v="5"/>
    <n v="69.7"/>
    <s v="722 Main St"/>
    <x v="1"/>
    <x v="2"/>
    <s v="TRK49663597"/>
    <n v="9"/>
    <s v="No Coupon"/>
    <s v="Instagram"/>
    <x v="1045"/>
    <s v="Normal"/>
  </r>
  <r>
    <x v="1051"/>
    <x v="376"/>
    <s v="C35043"/>
    <x v="0"/>
    <n v="5"/>
    <n v="26.43"/>
    <s v="820 Main St"/>
    <x v="3"/>
    <x v="0"/>
    <s v="TRK65097450"/>
    <n v="5"/>
    <s v="FREESHIP"/>
    <s v="Facebook"/>
    <x v="1046"/>
    <s v="Normal"/>
  </r>
  <r>
    <x v="1052"/>
    <x v="631"/>
    <s v="C12301"/>
    <x v="2"/>
    <n v="1"/>
    <n v="531.74"/>
    <s v="493 Main St"/>
    <x v="1"/>
    <x v="0"/>
    <s v="TRK25145796"/>
    <n v="1"/>
    <s v="WINTER15"/>
    <s v="Google"/>
    <x v="1047"/>
    <s v="Normal"/>
  </r>
  <r>
    <x v="1053"/>
    <x v="632"/>
    <s v="C32798"/>
    <x v="1"/>
    <n v="2"/>
    <n v="496.62"/>
    <s v="679 Main St"/>
    <x v="1"/>
    <x v="4"/>
    <s v="TRK37375451"/>
    <n v="2"/>
    <s v="SAVE10"/>
    <s v="Instagram"/>
    <x v="1048"/>
    <s v="Normal"/>
  </r>
  <r>
    <x v="1054"/>
    <x v="633"/>
    <s v="C42949"/>
    <x v="4"/>
    <n v="1"/>
    <n v="660.66"/>
    <s v="447 Main St"/>
    <x v="0"/>
    <x v="3"/>
    <s v="TRK46415143"/>
    <n v="3"/>
    <s v="WINTER15"/>
    <s v="Instagram"/>
    <x v="1049"/>
    <s v="Normal"/>
  </r>
  <r>
    <x v="1055"/>
    <x v="5"/>
    <s v="C10787"/>
    <x v="0"/>
    <n v="4"/>
    <n v="274.82"/>
    <s v="932 Main St"/>
    <x v="0"/>
    <x v="3"/>
    <s v="TRK91512567"/>
    <n v="9"/>
    <s v="WINTER15"/>
    <s v="Email"/>
    <x v="1050"/>
    <s v="Normal"/>
  </r>
  <r>
    <x v="1056"/>
    <x v="280"/>
    <s v="C26152"/>
    <x v="1"/>
    <n v="2"/>
    <n v="486.35"/>
    <s v="790 Main St"/>
    <x v="1"/>
    <x v="4"/>
    <s v="TRK49382455"/>
    <n v="6"/>
    <s v="SAVE10"/>
    <s v="Referral"/>
    <x v="1051"/>
    <s v="Normal"/>
  </r>
  <r>
    <x v="1057"/>
    <x v="634"/>
    <s v="C46210"/>
    <x v="5"/>
    <n v="3"/>
    <n v="428.88"/>
    <s v="535 Main St"/>
    <x v="0"/>
    <x v="0"/>
    <s v="TRK81611937"/>
    <n v="3"/>
    <s v="WINTER15"/>
    <s v="Facebook"/>
    <x v="1052"/>
    <s v="Normal"/>
  </r>
  <r>
    <x v="1058"/>
    <x v="102"/>
    <s v="C32943"/>
    <x v="6"/>
    <n v="2"/>
    <n v="412.14"/>
    <s v="127 Main St"/>
    <x v="2"/>
    <x v="2"/>
    <s v="TRK26949106"/>
    <n v="2"/>
    <s v="FREESHIP"/>
    <s v="Instagram"/>
    <x v="1053"/>
    <s v="Normal"/>
  </r>
  <r>
    <x v="1059"/>
    <x v="491"/>
    <s v="C73629"/>
    <x v="6"/>
    <n v="1"/>
    <n v="265.64"/>
    <s v="601 Main St"/>
    <x v="2"/>
    <x v="2"/>
    <s v="TRK11492924"/>
    <n v="3"/>
    <s v="WINTER15"/>
    <s v="Instagram"/>
    <x v="1054"/>
    <s v="Normal"/>
  </r>
  <r>
    <x v="1060"/>
    <x v="635"/>
    <s v="C38024"/>
    <x v="2"/>
    <n v="2"/>
    <n v="273.43"/>
    <s v="824 Main St"/>
    <x v="4"/>
    <x v="0"/>
    <s v="TRK93370912"/>
    <n v="7"/>
    <s v="WINTER15"/>
    <s v="Referral"/>
    <x v="1055"/>
    <s v="Normal"/>
  </r>
  <r>
    <x v="1061"/>
    <x v="636"/>
    <s v="C25445"/>
    <x v="5"/>
    <n v="5"/>
    <n v="131.69999999999999"/>
    <s v="830 Main St"/>
    <x v="4"/>
    <x v="0"/>
    <s v="TRK12402431"/>
    <n v="8"/>
    <s v="FREESHIP"/>
    <s v="Google"/>
    <x v="1056"/>
    <s v="Normal"/>
  </r>
  <r>
    <x v="1062"/>
    <x v="421"/>
    <s v="C13501"/>
    <x v="3"/>
    <n v="5"/>
    <n v="85.52"/>
    <s v="301 Main St"/>
    <x v="3"/>
    <x v="1"/>
    <s v="TRK65149372"/>
    <n v="5"/>
    <s v="No Coupon"/>
    <s v="Facebook"/>
    <x v="1057"/>
    <s v="Normal"/>
  </r>
  <r>
    <x v="1063"/>
    <x v="83"/>
    <s v="C42108"/>
    <x v="6"/>
    <n v="2"/>
    <n v="320.68"/>
    <s v="336 Main St"/>
    <x v="2"/>
    <x v="0"/>
    <s v="TRK58407918"/>
    <n v="5"/>
    <s v="FREESHIP"/>
    <s v="Referral"/>
    <x v="1058"/>
    <s v="Normal"/>
  </r>
  <r>
    <x v="1064"/>
    <x v="637"/>
    <s v="C32121"/>
    <x v="5"/>
    <n v="4"/>
    <n v="198.81"/>
    <s v="654 Main St"/>
    <x v="4"/>
    <x v="2"/>
    <s v="TRK96074264"/>
    <n v="9"/>
    <s v="FREESHIP"/>
    <s v="Referral"/>
    <x v="1059"/>
    <s v="Normal"/>
  </r>
  <r>
    <x v="1065"/>
    <x v="638"/>
    <s v="C47778"/>
    <x v="4"/>
    <n v="5"/>
    <n v="666.8"/>
    <s v="488 Main St"/>
    <x v="0"/>
    <x v="3"/>
    <s v="TRK79504329"/>
    <n v="7"/>
    <s v="SAVE10"/>
    <s v="Referral"/>
    <x v="1060"/>
    <s v="Outlier"/>
  </r>
  <r>
    <x v="1066"/>
    <x v="639"/>
    <s v="C10791"/>
    <x v="6"/>
    <n v="1"/>
    <n v="355.09"/>
    <s v="674 Main St"/>
    <x v="0"/>
    <x v="1"/>
    <s v="TRK20321248"/>
    <n v="5"/>
    <s v="SAVE10"/>
    <s v="Instagram"/>
    <x v="1061"/>
    <s v="Normal"/>
  </r>
  <r>
    <x v="1067"/>
    <x v="640"/>
    <s v="C78959"/>
    <x v="1"/>
    <n v="2"/>
    <n v="316.2"/>
    <s v="384 Main St"/>
    <x v="1"/>
    <x v="2"/>
    <s v="TRK37426359"/>
    <n v="2"/>
    <s v="No Coupon"/>
    <s v="Instagram"/>
    <x v="1062"/>
    <s v="Normal"/>
  </r>
  <r>
    <x v="1068"/>
    <x v="240"/>
    <s v="C29914"/>
    <x v="5"/>
    <n v="1"/>
    <n v="133.38999999999999"/>
    <s v="469 Main St"/>
    <x v="0"/>
    <x v="0"/>
    <s v="TRK22073506"/>
    <n v="2"/>
    <s v="SAVE10"/>
    <s v="Referral"/>
    <x v="1063"/>
    <s v="Normal"/>
  </r>
  <r>
    <x v="1069"/>
    <x v="641"/>
    <s v="C70506"/>
    <x v="0"/>
    <n v="1"/>
    <n v="454.23"/>
    <s v="255 Main St"/>
    <x v="3"/>
    <x v="2"/>
    <s v="TRK12518384"/>
    <n v="3"/>
    <s v="No Coupon"/>
    <s v="Facebook"/>
    <x v="1064"/>
    <s v="Normal"/>
  </r>
  <r>
    <x v="1070"/>
    <x v="605"/>
    <s v="C46873"/>
    <x v="6"/>
    <n v="4"/>
    <n v="491.29"/>
    <s v="496 Main St"/>
    <x v="0"/>
    <x v="4"/>
    <s v="TRK10926575"/>
    <n v="6"/>
    <s v="No Coupon"/>
    <s v="Email"/>
    <x v="1065"/>
    <s v="Normal"/>
  </r>
  <r>
    <x v="1071"/>
    <x v="53"/>
    <s v="C94037"/>
    <x v="1"/>
    <n v="2"/>
    <n v="255.14"/>
    <s v="216 Main St"/>
    <x v="4"/>
    <x v="0"/>
    <s v="TRK47536985"/>
    <n v="2"/>
    <s v="No Coupon"/>
    <s v="Google"/>
    <x v="1066"/>
    <s v="Normal"/>
  </r>
  <r>
    <x v="1072"/>
    <x v="297"/>
    <s v="C88644"/>
    <x v="0"/>
    <n v="1"/>
    <n v="392.61"/>
    <s v="977 Main St"/>
    <x v="3"/>
    <x v="1"/>
    <s v="TRK14900878"/>
    <n v="4"/>
    <s v="SAVE10"/>
    <s v="Referral"/>
    <x v="1067"/>
    <s v="Normal"/>
  </r>
  <r>
    <x v="1073"/>
    <x v="642"/>
    <s v="C69471"/>
    <x v="2"/>
    <n v="4"/>
    <n v="362.06"/>
    <s v="294 Main St"/>
    <x v="0"/>
    <x v="2"/>
    <s v="TRK11107152"/>
    <n v="4"/>
    <s v="No Coupon"/>
    <s v="Facebook"/>
    <x v="1068"/>
    <s v="Normal"/>
  </r>
  <r>
    <x v="1074"/>
    <x v="451"/>
    <s v="C21437"/>
    <x v="1"/>
    <n v="1"/>
    <n v="222.73"/>
    <s v="120 Main St"/>
    <x v="1"/>
    <x v="2"/>
    <s v="TRK81624772"/>
    <n v="4"/>
    <s v="No Coupon"/>
    <s v="Google"/>
    <x v="1069"/>
    <s v="Normal"/>
  </r>
  <r>
    <x v="1075"/>
    <x v="169"/>
    <s v="C40949"/>
    <x v="0"/>
    <n v="2"/>
    <n v="552.63"/>
    <s v="609 Main St"/>
    <x v="0"/>
    <x v="3"/>
    <s v="TRK43066749"/>
    <n v="7"/>
    <s v="WINTER15"/>
    <s v="Instagram"/>
    <x v="1070"/>
    <s v="Normal"/>
  </r>
  <r>
    <x v="1076"/>
    <x v="20"/>
    <s v="C99116"/>
    <x v="5"/>
    <n v="4"/>
    <n v="686.61"/>
    <s v="176 Main St"/>
    <x v="4"/>
    <x v="0"/>
    <s v="TRK52711973"/>
    <n v="6"/>
    <s v="No Coupon"/>
    <s v="Referral"/>
    <x v="1071"/>
    <s v="Normal"/>
  </r>
  <r>
    <x v="1077"/>
    <x v="456"/>
    <s v="C57861"/>
    <x v="4"/>
    <n v="3"/>
    <n v="305.16000000000003"/>
    <s v="115 Main St"/>
    <x v="2"/>
    <x v="1"/>
    <s v="TRK47775217"/>
    <n v="8"/>
    <s v="SAVE10"/>
    <s v="Referral"/>
    <x v="1072"/>
    <s v="Normal"/>
  </r>
  <r>
    <x v="1078"/>
    <x v="168"/>
    <s v="C62627"/>
    <x v="6"/>
    <n v="1"/>
    <n v="41.09"/>
    <s v="881 Main St"/>
    <x v="1"/>
    <x v="2"/>
    <s v="TRK90060232"/>
    <n v="4"/>
    <s v="WINTER15"/>
    <s v="Email"/>
    <x v="1073"/>
    <s v="Normal"/>
  </r>
  <r>
    <x v="1079"/>
    <x v="643"/>
    <s v="C89979"/>
    <x v="1"/>
    <n v="5"/>
    <n v="634"/>
    <s v="144 Main St"/>
    <x v="3"/>
    <x v="3"/>
    <s v="TRK99055909"/>
    <n v="8"/>
    <s v="No Coupon"/>
    <s v="Email"/>
    <x v="1074"/>
    <s v="Normal"/>
  </r>
  <r>
    <x v="1080"/>
    <x v="325"/>
    <s v="C70613"/>
    <x v="5"/>
    <n v="5"/>
    <n v="464.74"/>
    <s v="438 Main St"/>
    <x v="3"/>
    <x v="3"/>
    <s v="TRK33140293"/>
    <n v="7"/>
    <s v="No Coupon"/>
    <s v="Referral"/>
    <x v="1075"/>
    <s v="Normal"/>
  </r>
  <r>
    <x v="1081"/>
    <x v="453"/>
    <s v="C55636"/>
    <x v="0"/>
    <n v="4"/>
    <n v="425.6"/>
    <s v="494 Main St"/>
    <x v="2"/>
    <x v="4"/>
    <s v="TRK85897054"/>
    <n v="5"/>
    <s v="FREESHIP"/>
    <s v="Google"/>
    <x v="1076"/>
    <s v="Normal"/>
  </r>
  <r>
    <x v="1082"/>
    <x v="426"/>
    <s v="C96595"/>
    <x v="3"/>
    <n v="3"/>
    <n v="573.22"/>
    <s v="177 Main St"/>
    <x v="0"/>
    <x v="4"/>
    <s v="TRK59779174"/>
    <n v="5"/>
    <s v="SAVE10"/>
    <s v="Email"/>
    <x v="1077"/>
    <s v="Normal"/>
  </r>
  <r>
    <x v="1083"/>
    <x v="644"/>
    <s v="C68508"/>
    <x v="3"/>
    <n v="1"/>
    <n v="123.28"/>
    <s v="895 Main St"/>
    <x v="2"/>
    <x v="3"/>
    <s v="TRK98960285"/>
    <n v="3"/>
    <s v="SAVE10"/>
    <s v="Email"/>
    <x v="1078"/>
    <s v="Normal"/>
  </r>
  <r>
    <x v="1084"/>
    <x v="124"/>
    <s v="C45175"/>
    <x v="1"/>
    <n v="1"/>
    <n v="70.819999999999993"/>
    <s v="128 Main St"/>
    <x v="3"/>
    <x v="4"/>
    <s v="TRK41792296"/>
    <n v="1"/>
    <s v="WINTER15"/>
    <s v="Instagram"/>
    <x v="1079"/>
    <s v="Normal"/>
  </r>
  <r>
    <x v="1085"/>
    <x v="54"/>
    <s v="C28049"/>
    <x v="4"/>
    <n v="2"/>
    <n v="646.69000000000005"/>
    <s v="404 Main St"/>
    <x v="0"/>
    <x v="0"/>
    <s v="TRK91426444"/>
    <n v="7"/>
    <s v="WINTER15"/>
    <s v="Instagram"/>
    <x v="1080"/>
    <s v="Normal"/>
  </r>
  <r>
    <x v="1086"/>
    <x v="475"/>
    <s v="C46967"/>
    <x v="2"/>
    <n v="2"/>
    <n v="513.41999999999996"/>
    <s v="401 Main St"/>
    <x v="1"/>
    <x v="4"/>
    <s v="TRK91439791"/>
    <n v="5"/>
    <s v="WINTER15"/>
    <s v="Instagram"/>
    <x v="1081"/>
    <s v="Normal"/>
  </r>
  <r>
    <x v="1087"/>
    <x v="411"/>
    <s v="C84134"/>
    <x v="5"/>
    <n v="4"/>
    <n v="693.07"/>
    <s v="530 Main St"/>
    <x v="1"/>
    <x v="0"/>
    <s v="TRK48659380"/>
    <n v="8"/>
    <s v="SAVE10"/>
    <s v="Instagram"/>
    <x v="1082"/>
    <s v="Normal"/>
  </r>
  <r>
    <x v="1088"/>
    <x v="115"/>
    <s v="C49831"/>
    <x v="6"/>
    <n v="3"/>
    <n v="491.43"/>
    <s v="213 Main St"/>
    <x v="3"/>
    <x v="0"/>
    <s v="TRK21232601"/>
    <n v="6"/>
    <s v="WINTER15"/>
    <s v="Instagram"/>
    <x v="1083"/>
    <s v="Normal"/>
  </r>
  <r>
    <x v="1089"/>
    <x v="175"/>
    <s v="C13324"/>
    <x v="2"/>
    <n v="2"/>
    <n v="599.74"/>
    <s v="440 Main St"/>
    <x v="3"/>
    <x v="0"/>
    <s v="TRK66967997"/>
    <n v="2"/>
    <s v="No Coupon"/>
    <s v="Instagram"/>
    <x v="1084"/>
    <s v="Normal"/>
  </r>
  <r>
    <x v="1090"/>
    <x v="641"/>
    <s v="C61225"/>
    <x v="0"/>
    <n v="2"/>
    <n v="650.25"/>
    <s v="996 Main St"/>
    <x v="3"/>
    <x v="2"/>
    <s v="TRK37022954"/>
    <n v="6"/>
    <s v="No Coupon"/>
    <s v="Instagram"/>
    <x v="1085"/>
    <s v="Normal"/>
  </r>
  <r>
    <x v="1091"/>
    <x v="192"/>
    <s v="C16400"/>
    <x v="5"/>
    <n v="3"/>
    <n v="209.48"/>
    <s v="123 Main St"/>
    <x v="0"/>
    <x v="4"/>
    <s v="TRK57771859"/>
    <n v="4"/>
    <s v="No Coupon"/>
    <s v="Email"/>
    <x v="1086"/>
    <s v="Normal"/>
  </r>
  <r>
    <x v="1092"/>
    <x v="531"/>
    <s v="C38642"/>
    <x v="5"/>
    <n v="5"/>
    <n v="209.2"/>
    <s v="930 Main St"/>
    <x v="0"/>
    <x v="3"/>
    <s v="TRK47744396"/>
    <n v="6"/>
    <s v="WINTER15"/>
    <s v="Email"/>
    <x v="1087"/>
    <s v="Normal"/>
  </r>
  <r>
    <x v="1093"/>
    <x v="308"/>
    <s v="C86773"/>
    <x v="1"/>
    <n v="4"/>
    <n v="197.36"/>
    <s v="557 Main St"/>
    <x v="3"/>
    <x v="2"/>
    <s v="TRK22612240"/>
    <n v="9"/>
    <s v="FREESHIP"/>
    <s v="Instagram"/>
    <x v="1088"/>
    <s v="Normal"/>
  </r>
  <r>
    <x v="1094"/>
    <x v="342"/>
    <s v="C66093"/>
    <x v="4"/>
    <n v="4"/>
    <n v="648.91"/>
    <s v="615 Main St"/>
    <x v="2"/>
    <x v="0"/>
    <s v="TRK54950785"/>
    <n v="6"/>
    <s v="SAVE10"/>
    <s v="Instagram"/>
    <x v="1089"/>
    <s v="Normal"/>
  </r>
  <r>
    <x v="1095"/>
    <x v="234"/>
    <s v="C33051"/>
    <x v="1"/>
    <n v="2"/>
    <n v="441.54"/>
    <s v="397 Main St"/>
    <x v="1"/>
    <x v="3"/>
    <s v="TRK92929755"/>
    <n v="2"/>
    <s v="SAVE10"/>
    <s v="Email"/>
    <x v="1090"/>
    <s v="Normal"/>
  </r>
  <r>
    <x v="1096"/>
    <x v="120"/>
    <s v="C18169"/>
    <x v="2"/>
    <n v="2"/>
    <n v="464.92"/>
    <s v="782 Main St"/>
    <x v="0"/>
    <x v="2"/>
    <s v="TRK49482923"/>
    <n v="2"/>
    <s v="No Coupon"/>
    <s v="Facebook"/>
    <x v="1091"/>
    <s v="Normal"/>
  </r>
  <r>
    <x v="1097"/>
    <x v="645"/>
    <s v="C81370"/>
    <x v="0"/>
    <n v="5"/>
    <n v="506.45"/>
    <s v="344 Main St"/>
    <x v="3"/>
    <x v="0"/>
    <s v="TRK99682998"/>
    <n v="7"/>
    <s v="WINTER15"/>
    <s v="Google"/>
    <x v="1092"/>
    <s v="Normal"/>
  </r>
  <r>
    <x v="1098"/>
    <x v="646"/>
    <s v="C91103"/>
    <x v="0"/>
    <n v="4"/>
    <n v="255.86"/>
    <s v="155 Main St"/>
    <x v="2"/>
    <x v="3"/>
    <s v="TRK91653000"/>
    <n v="7"/>
    <s v="No Coupon"/>
    <s v="Email"/>
    <x v="1093"/>
    <s v="Normal"/>
  </r>
  <r>
    <x v="1099"/>
    <x v="556"/>
    <s v="C21953"/>
    <x v="5"/>
    <n v="2"/>
    <n v="125.23"/>
    <s v="272 Main St"/>
    <x v="4"/>
    <x v="1"/>
    <s v="TRK60774796"/>
    <n v="3"/>
    <s v="FREESHIP"/>
    <s v="Email"/>
    <x v="1094"/>
    <s v="Normal"/>
  </r>
  <r>
    <x v="1100"/>
    <x v="538"/>
    <s v="C15146"/>
    <x v="5"/>
    <n v="5"/>
    <n v="38.11"/>
    <s v="428 Main St"/>
    <x v="0"/>
    <x v="1"/>
    <s v="TRK79790530"/>
    <n v="6"/>
    <s v="WINTER15"/>
    <s v="Instagram"/>
    <x v="1095"/>
    <s v="Normal"/>
  </r>
  <r>
    <x v="1101"/>
    <x v="647"/>
    <s v="C43546"/>
    <x v="0"/>
    <n v="3"/>
    <n v="161.97"/>
    <s v="904 Main St"/>
    <x v="4"/>
    <x v="4"/>
    <s v="TRK85871121"/>
    <n v="4"/>
    <s v="SAVE10"/>
    <s v="Email"/>
    <x v="1096"/>
    <s v="Normal"/>
  </r>
  <r>
    <x v="1102"/>
    <x v="561"/>
    <s v="C98474"/>
    <x v="3"/>
    <n v="4"/>
    <n v="347.17"/>
    <s v="997 Main St"/>
    <x v="0"/>
    <x v="0"/>
    <s v="TRK86192984"/>
    <n v="8"/>
    <s v="No Coupon"/>
    <s v="Instagram"/>
    <x v="1097"/>
    <s v="Normal"/>
  </r>
  <r>
    <x v="1103"/>
    <x v="648"/>
    <s v="C90292"/>
    <x v="5"/>
    <n v="4"/>
    <n v="276.32"/>
    <s v="129 Main St"/>
    <x v="1"/>
    <x v="3"/>
    <s v="TRK26270357"/>
    <n v="5"/>
    <s v="No Coupon"/>
    <s v="Google"/>
    <x v="1098"/>
    <s v="Normal"/>
  </r>
  <r>
    <x v="1104"/>
    <x v="568"/>
    <s v="C17075"/>
    <x v="2"/>
    <n v="4"/>
    <n v="314.76"/>
    <s v="850 Main St"/>
    <x v="1"/>
    <x v="0"/>
    <s v="TRK63547510"/>
    <n v="8"/>
    <s v="No Coupon"/>
    <s v="Instagram"/>
    <x v="1099"/>
    <s v="Normal"/>
  </r>
  <r>
    <x v="1105"/>
    <x v="649"/>
    <s v="C12487"/>
    <x v="2"/>
    <n v="3"/>
    <n v="475.69"/>
    <s v="884 Main St"/>
    <x v="3"/>
    <x v="1"/>
    <s v="TRK23324770"/>
    <n v="3"/>
    <s v="FREESHIP"/>
    <s v="Google"/>
    <x v="1100"/>
    <s v="Normal"/>
  </r>
  <r>
    <x v="1106"/>
    <x v="255"/>
    <s v="C34555"/>
    <x v="3"/>
    <n v="1"/>
    <n v="372.8"/>
    <s v="903 Main St"/>
    <x v="4"/>
    <x v="1"/>
    <s v="TRK72859458"/>
    <n v="6"/>
    <s v="SAVE10"/>
    <s v="Facebook"/>
    <x v="1101"/>
    <s v="Normal"/>
  </r>
  <r>
    <x v="1107"/>
    <x v="233"/>
    <s v="C25110"/>
    <x v="2"/>
    <n v="2"/>
    <n v="63.21"/>
    <s v="282 Main St"/>
    <x v="1"/>
    <x v="1"/>
    <s v="TRK80963328"/>
    <n v="4"/>
    <s v="SAVE10"/>
    <s v="Google"/>
    <x v="1102"/>
    <s v="Normal"/>
  </r>
  <r>
    <x v="1108"/>
    <x v="650"/>
    <s v="C35136"/>
    <x v="5"/>
    <n v="1"/>
    <n v="634.94000000000005"/>
    <s v="462 Main St"/>
    <x v="1"/>
    <x v="1"/>
    <s v="TRK49753703"/>
    <n v="5"/>
    <s v="WINTER15"/>
    <s v="Instagram"/>
    <x v="1103"/>
    <s v="Normal"/>
  </r>
  <r>
    <x v="1109"/>
    <x v="651"/>
    <s v="C62277"/>
    <x v="4"/>
    <n v="4"/>
    <n v="77.47"/>
    <s v="474 Main St"/>
    <x v="3"/>
    <x v="2"/>
    <s v="TRK32026174"/>
    <n v="7"/>
    <s v="SAVE10"/>
    <s v="Instagram"/>
    <x v="1104"/>
    <s v="Normal"/>
  </r>
  <r>
    <x v="1110"/>
    <x v="402"/>
    <s v="C12472"/>
    <x v="3"/>
    <n v="3"/>
    <n v="84.31"/>
    <s v="912 Main St"/>
    <x v="2"/>
    <x v="0"/>
    <s v="TRK36103184"/>
    <n v="3"/>
    <s v="SAVE10"/>
    <s v="Email"/>
    <x v="1105"/>
    <s v="Normal"/>
  </r>
  <r>
    <x v="1111"/>
    <x v="306"/>
    <s v="C24047"/>
    <x v="0"/>
    <n v="4"/>
    <n v="234.45"/>
    <s v="362 Main St"/>
    <x v="1"/>
    <x v="1"/>
    <s v="TRK91338580"/>
    <n v="9"/>
    <s v="FREESHIP"/>
    <s v="Instagram"/>
    <x v="1106"/>
    <s v="Normal"/>
  </r>
  <r>
    <x v="1112"/>
    <x v="652"/>
    <s v="C76929"/>
    <x v="6"/>
    <n v="1"/>
    <n v="356.81"/>
    <s v="563 Main St"/>
    <x v="1"/>
    <x v="3"/>
    <s v="TRK80694400"/>
    <n v="1"/>
    <s v="WINTER15"/>
    <s v="Instagram"/>
    <x v="1107"/>
    <s v="Normal"/>
  </r>
  <r>
    <x v="1113"/>
    <x v="111"/>
    <s v="C52914"/>
    <x v="6"/>
    <n v="4"/>
    <n v="209.99"/>
    <s v="168 Main St"/>
    <x v="4"/>
    <x v="3"/>
    <s v="TRK80819053"/>
    <n v="8"/>
    <s v="No Coupon"/>
    <s v="Google"/>
    <x v="1108"/>
    <s v="Normal"/>
  </r>
  <r>
    <x v="1114"/>
    <x v="653"/>
    <s v="C55164"/>
    <x v="2"/>
    <n v="3"/>
    <n v="659.88"/>
    <s v="609 Main St"/>
    <x v="3"/>
    <x v="1"/>
    <s v="TRK79610967"/>
    <n v="3"/>
    <s v="No Coupon"/>
    <s v="Google"/>
    <x v="1109"/>
    <s v="Normal"/>
  </r>
  <r>
    <x v="1115"/>
    <x v="126"/>
    <s v="C70426"/>
    <x v="5"/>
    <n v="2"/>
    <n v="336.32"/>
    <s v="562 Main St"/>
    <x v="1"/>
    <x v="2"/>
    <s v="TRK89687816"/>
    <n v="3"/>
    <s v="No Coupon"/>
    <s v="Google"/>
    <x v="1110"/>
    <s v="Normal"/>
  </r>
  <r>
    <x v="1116"/>
    <x v="612"/>
    <s v="C69149"/>
    <x v="4"/>
    <n v="2"/>
    <n v="531.49"/>
    <s v="562 Main St"/>
    <x v="2"/>
    <x v="3"/>
    <s v="TRK61265132"/>
    <n v="7"/>
    <s v="WINTER15"/>
    <s v="Facebook"/>
    <x v="1111"/>
    <s v="Normal"/>
  </r>
  <r>
    <x v="1117"/>
    <x v="199"/>
    <s v="C78684"/>
    <x v="3"/>
    <n v="3"/>
    <n v="588.44000000000005"/>
    <s v="858 Main St"/>
    <x v="3"/>
    <x v="0"/>
    <s v="TRK95779073"/>
    <n v="8"/>
    <s v="WINTER15"/>
    <s v="Google"/>
    <x v="1112"/>
    <s v="Normal"/>
  </r>
  <r>
    <x v="1118"/>
    <x v="75"/>
    <s v="C58168"/>
    <x v="1"/>
    <n v="3"/>
    <n v="251.48"/>
    <s v="359 Main St"/>
    <x v="2"/>
    <x v="2"/>
    <s v="TRK99102265"/>
    <n v="4"/>
    <s v="No Coupon"/>
    <s v="Email"/>
    <x v="1113"/>
    <s v="Normal"/>
  </r>
  <r>
    <x v="1119"/>
    <x v="167"/>
    <s v="C99024"/>
    <x v="5"/>
    <n v="1"/>
    <n v="684.65"/>
    <s v="250 Main St"/>
    <x v="2"/>
    <x v="3"/>
    <s v="TRK24675988"/>
    <n v="1"/>
    <s v="FREESHIP"/>
    <s v="Email"/>
    <x v="1114"/>
    <s v="Normal"/>
  </r>
  <r>
    <x v="1120"/>
    <x v="400"/>
    <s v="C22919"/>
    <x v="2"/>
    <n v="1"/>
    <n v="195.86"/>
    <s v="267 Main St"/>
    <x v="1"/>
    <x v="4"/>
    <s v="TRK82416295"/>
    <n v="3"/>
    <s v="No Coupon"/>
    <s v="Facebook"/>
    <x v="1115"/>
    <s v="Normal"/>
  </r>
  <r>
    <x v="1121"/>
    <x v="654"/>
    <s v="C98354"/>
    <x v="1"/>
    <n v="3"/>
    <n v="50.34"/>
    <s v="393 Main St"/>
    <x v="3"/>
    <x v="2"/>
    <s v="TRK43070888"/>
    <n v="3"/>
    <s v="FREESHIP"/>
    <s v="Instagram"/>
    <x v="1116"/>
    <s v="Normal"/>
  </r>
  <r>
    <x v="1122"/>
    <x v="323"/>
    <s v="C38840"/>
    <x v="0"/>
    <n v="5"/>
    <n v="678.19"/>
    <s v="766 Main St"/>
    <x v="1"/>
    <x v="2"/>
    <s v="TRK32496970"/>
    <n v="8"/>
    <s v="No Coupon"/>
    <s v="Facebook"/>
    <x v="1117"/>
    <s v="Outlier"/>
  </r>
  <r>
    <x v="1123"/>
    <x v="655"/>
    <s v="C68936"/>
    <x v="2"/>
    <n v="3"/>
    <n v="554.25"/>
    <s v="843 Main St"/>
    <x v="0"/>
    <x v="0"/>
    <s v="TRK73163634"/>
    <n v="6"/>
    <s v="WINTER15"/>
    <s v="Referral"/>
    <x v="1118"/>
    <s v="Normal"/>
  </r>
  <r>
    <x v="1124"/>
    <x v="221"/>
    <s v="C33744"/>
    <x v="3"/>
    <n v="4"/>
    <n v="576.87"/>
    <s v="888 Main St"/>
    <x v="3"/>
    <x v="2"/>
    <s v="TRK40245983"/>
    <n v="5"/>
    <s v="No Coupon"/>
    <s v="Instagram"/>
    <x v="1119"/>
    <s v="Normal"/>
  </r>
  <r>
    <x v="1125"/>
    <x v="504"/>
    <s v="C23555"/>
    <x v="6"/>
    <n v="4"/>
    <n v="408.36"/>
    <s v="156 Main St"/>
    <x v="3"/>
    <x v="1"/>
    <s v="TRK67210247"/>
    <n v="4"/>
    <s v="FREESHIP"/>
    <s v="Referral"/>
    <x v="1120"/>
    <s v="Normal"/>
  </r>
  <r>
    <x v="1126"/>
    <x v="319"/>
    <s v="C34337"/>
    <x v="1"/>
    <n v="5"/>
    <n v="190.11"/>
    <s v="325 Main St"/>
    <x v="4"/>
    <x v="3"/>
    <s v="TRK36195559"/>
    <n v="7"/>
    <s v="SAVE10"/>
    <s v="Google"/>
    <x v="1121"/>
    <s v="Normal"/>
  </r>
  <r>
    <x v="1127"/>
    <x v="175"/>
    <s v="C69396"/>
    <x v="4"/>
    <n v="3"/>
    <n v="602.75"/>
    <s v="920 Main St"/>
    <x v="2"/>
    <x v="0"/>
    <s v="TRK33155049"/>
    <n v="6"/>
    <s v="SAVE10"/>
    <s v="Email"/>
    <x v="1122"/>
    <s v="Normal"/>
  </r>
  <r>
    <x v="1128"/>
    <x v="538"/>
    <s v="C49198"/>
    <x v="0"/>
    <n v="3"/>
    <n v="646.79"/>
    <s v="447 Main St"/>
    <x v="4"/>
    <x v="1"/>
    <s v="TRK10883354"/>
    <n v="5"/>
    <s v="WINTER15"/>
    <s v="Google"/>
    <x v="1123"/>
    <s v="Normal"/>
  </r>
  <r>
    <x v="1129"/>
    <x v="236"/>
    <s v="C43911"/>
    <x v="3"/>
    <n v="4"/>
    <n v="418.71"/>
    <s v="239 Main St"/>
    <x v="4"/>
    <x v="4"/>
    <s v="TRK37495481"/>
    <n v="8"/>
    <s v="FREESHIP"/>
    <s v="Instagram"/>
    <x v="1124"/>
    <s v="Normal"/>
  </r>
  <r>
    <x v="1130"/>
    <x v="656"/>
    <s v="C24347"/>
    <x v="5"/>
    <n v="2"/>
    <n v="323.45"/>
    <s v="533 Main St"/>
    <x v="2"/>
    <x v="2"/>
    <s v="TRK27233265"/>
    <n v="5"/>
    <s v="FREESHIP"/>
    <s v="Instagram"/>
    <x v="1125"/>
    <s v="Normal"/>
  </r>
  <r>
    <x v="1131"/>
    <x v="408"/>
    <s v="C21043"/>
    <x v="1"/>
    <n v="1"/>
    <n v="694.5"/>
    <s v="195 Main St"/>
    <x v="2"/>
    <x v="4"/>
    <s v="TRK41691086"/>
    <n v="3"/>
    <s v="WINTER15"/>
    <s v="Facebook"/>
    <x v="1126"/>
    <s v="Normal"/>
  </r>
  <r>
    <x v="1132"/>
    <x v="657"/>
    <s v="C58858"/>
    <x v="3"/>
    <n v="2"/>
    <n v="337.32"/>
    <s v="948 Main St"/>
    <x v="2"/>
    <x v="1"/>
    <s v="TRK30406357"/>
    <n v="4"/>
    <s v="SAVE10"/>
    <s v="Email"/>
    <x v="1127"/>
    <s v="Normal"/>
  </r>
  <r>
    <x v="1133"/>
    <x v="398"/>
    <s v="C20670"/>
    <x v="4"/>
    <n v="2"/>
    <n v="467.91"/>
    <s v="432 Main St"/>
    <x v="3"/>
    <x v="2"/>
    <s v="TRK76731303"/>
    <n v="5"/>
    <s v="WINTER15"/>
    <s v="Facebook"/>
    <x v="1128"/>
    <s v="Normal"/>
  </r>
  <r>
    <x v="1134"/>
    <x v="180"/>
    <s v="C90993"/>
    <x v="6"/>
    <n v="4"/>
    <n v="38.28"/>
    <s v="950 Main St"/>
    <x v="0"/>
    <x v="1"/>
    <s v="TRK53964711"/>
    <n v="4"/>
    <s v="WINTER15"/>
    <s v="Facebook"/>
    <x v="1129"/>
    <s v="Normal"/>
  </r>
  <r>
    <x v="1135"/>
    <x v="153"/>
    <s v="C11473"/>
    <x v="4"/>
    <n v="2"/>
    <n v="73.41"/>
    <s v="562 Main St"/>
    <x v="1"/>
    <x v="0"/>
    <s v="TRK97793275"/>
    <n v="2"/>
    <s v="SAVE10"/>
    <s v="Google"/>
    <x v="1130"/>
    <s v="Normal"/>
  </r>
  <r>
    <x v="1136"/>
    <x v="463"/>
    <s v="C71899"/>
    <x v="2"/>
    <n v="3"/>
    <n v="668.33"/>
    <s v="799 Main St"/>
    <x v="3"/>
    <x v="4"/>
    <s v="TRK34856025"/>
    <n v="4"/>
    <s v="WINTER15"/>
    <s v="Facebook"/>
    <x v="1131"/>
    <s v="Normal"/>
  </r>
  <r>
    <x v="1137"/>
    <x v="511"/>
    <s v="C48577"/>
    <x v="4"/>
    <n v="4"/>
    <n v="410.21"/>
    <s v="841 Main St"/>
    <x v="4"/>
    <x v="4"/>
    <s v="TRK59911645"/>
    <n v="5"/>
    <s v="WINTER15"/>
    <s v="Instagram"/>
    <x v="1132"/>
    <s v="Normal"/>
  </r>
  <r>
    <x v="1138"/>
    <x v="552"/>
    <s v="C13100"/>
    <x v="6"/>
    <n v="4"/>
    <n v="294.41000000000003"/>
    <s v="188 Main St"/>
    <x v="0"/>
    <x v="4"/>
    <s v="TRK55565668"/>
    <n v="4"/>
    <s v="No Coupon"/>
    <s v="Instagram"/>
    <x v="1133"/>
    <s v="Normal"/>
  </r>
  <r>
    <x v="1139"/>
    <x v="627"/>
    <s v="C70659"/>
    <x v="3"/>
    <n v="3"/>
    <n v="501.82"/>
    <s v="568 Main St"/>
    <x v="3"/>
    <x v="1"/>
    <s v="TRK28290825"/>
    <n v="4"/>
    <s v="FREESHIP"/>
    <s v="Email"/>
    <x v="1134"/>
    <s v="Normal"/>
  </r>
  <r>
    <x v="1140"/>
    <x v="658"/>
    <s v="C49838"/>
    <x v="4"/>
    <n v="2"/>
    <n v="552.83000000000004"/>
    <s v="904 Main St"/>
    <x v="2"/>
    <x v="1"/>
    <s v="TRK38297718"/>
    <n v="3"/>
    <s v="No Coupon"/>
    <s v="Referral"/>
    <x v="1135"/>
    <s v="Normal"/>
  </r>
  <r>
    <x v="1141"/>
    <x v="656"/>
    <s v="C11998"/>
    <x v="3"/>
    <n v="3"/>
    <n v="498.66"/>
    <s v="382 Main St"/>
    <x v="4"/>
    <x v="1"/>
    <s v="TRK26707221"/>
    <n v="6"/>
    <s v="No Coupon"/>
    <s v="Email"/>
    <x v="1136"/>
    <s v="Normal"/>
  </r>
  <r>
    <x v="1142"/>
    <x v="1"/>
    <s v="C23405"/>
    <x v="1"/>
    <n v="4"/>
    <n v="695.1"/>
    <s v="484 Main St"/>
    <x v="0"/>
    <x v="2"/>
    <s v="TRK83678708"/>
    <n v="8"/>
    <s v="No Coupon"/>
    <s v="Email"/>
    <x v="1137"/>
    <s v="Normal"/>
  </r>
  <r>
    <x v="1143"/>
    <x v="659"/>
    <s v="C41132"/>
    <x v="3"/>
    <n v="1"/>
    <n v="381.61"/>
    <s v="114 Main St"/>
    <x v="0"/>
    <x v="4"/>
    <s v="TRK51040137"/>
    <n v="5"/>
    <s v="No Coupon"/>
    <s v="Email"/>
    <x v="1138"/>
    <s v="Normal"/>
  </r>
  <r>
    <x v="1144"/>
    <x v="223"/>
    <s v="C88463"/>
    <x v="6"/>
    <n v="5"/>
    <n v="507.94"/>
    <s v="292 Main St"/>
    <x v="1"/>
    <x v="1"/>
    <s v="TRK88749996"/>
    <n v="9"/>
    <s v="No Coupon"/>
    <s v="Facebook"/>
    <x v="1139"/>
    <s v="Normal"/>
  </r>
  <r>
    <x v="1145"/>
    <x v="275"/>
    <s v="C28152"/>
    <x v="6"/>
    <n v="3"/>
    <n v="571.53"/>
    <s v="821 Main St"/>
    <x v="0"/>
    <x v="3"/>
    <s v="TRK59642814"/>
    <n v="6"/>
    <s v="FREESHIP"/>
    <s v="Facebook"/>
    <x v="1140"/>
    <s v="Normal"/>
  </r>
  <r>
    <x v="1146"/>
    <x v="525"/>
    <s v="C36383"/>
    <x v="0"/>
    <n v="5"/>
    <n v="421.44"/>
    <s v="286 Main St"/>
    <x v="4"/>
    <x v="4"/>
    <s v="TRK93336357"/>
    <n v="5"/>
    <s v="SAVE10"/>
    <s v="Instagram"/>
    <x v="1141"/>
    <s v="Normal"/>
  </r>
  <r>
    <x v="1147"/>
    <x v="143"/>
    <s v="C19759"/>
    <x v="3"/>
    <n v="2"/>
    <n v="588.29999999999995"/>
    <s v="234 Main St"/>
    <x v="1"/>
    <x v="4"/>
    <s v="TRK22515454"/>
    <n v="2"/>
    <s v="FREESHIP"/>
    <s v="Email"/>
    <x v="1142"/>
    <s v="Normal"/>
  </r>
  <r>
    <x v="1148"/>
    <x v="611"/>
    <s v="C54886"/>
    <x v="1"/>
    <n v="1"/>
    <n v="355.15"/>
    <s v="442 Main St"/>
    <x v="4"/>
    <x v="2"/>
    <s v="TRK66241930"/>
    <n v="2"/>
    <s v="SAVE10"/>
    <s v="Email"/>
    <x v="1143"/>
    <s v="Normal"/>
  </r>
  <r>
    <x v="1149"/>
    <x v="568"/>
    <s v="C27305"/>
    <x v="3"/>
    <n v="2"/>
    <n v="695.29"/>
    <s v="957 Main St"/>
    <x v="2"/>
    <x v="4"/>
    <s v="TRK28789916"/>
    <n v="6"/>
    <s v="FREESHIP"/>
    <s v="Instagram"/>
    <x v="1144"/>
    <s v="Normal"/>
  </r>
  <r>
    <x v="1150"/>
    <x v="215"/>
    <s v="C17921"/>
    <x v="6"/>
    <n v="4"/>
    <n v="302.64999999999998"/>
    <s v="119 Main St"/>
    <x v="2"/>
    <x v="1"/>
    <s v="TRK79291524"/>
    <n v="8"/>
    <s v="SAVE10"/>
    <s v="Referral"/>
    <x v="1145"/>
    <s v="Normal"/>
  </r>
  <r>
    <x v="1151"/>
    <x v="22"/>
    <s v="C94381"/>
    <x v="3"/>
    <n v="2"/>
    <n v="608.04"/>
    <s v="962 Main St"/>
    <x v="4"/>
    <x v="1"/>
    <s v="TRK69804304"/>
    <n v="4"/>
    <s v="No Coupon"/>
    <s v="Google"/>
    <x v="1146"/>
    <s v="Normal"/>
  </r>
  <r>
    <x v="1152"/>
    <x v="576"/>
    <s v="C25162"/>
    <x v="2"/>
    <n v="2"/>
    <n v="344.18"/>
    <s v="533 Main St"/>
    <x v="2"/>
    <x v="0"/>
    <s v="TRK42183078"/>
    <n v="7"/>
    <s v="No Coupon"/>
    <s v="Referral"/>
    <x v="1147"/>
    <s v="Normal"/>
  </r>
  <r>
    <x v="1153"/>
    <x v="393"/>
    <s v="C98317"/>
    <x v="0"/>
    <n v="4"/>
    <n v="696.71"/>
    <s v="276 Main St"/>
    <x v="0"/>
    <x v="0"/>
    <s v="TRK37172138"/>
    <n v="4"/>
    <s v="No Coupon"/>
    <s v="Instagram"/>
    <x v="1148"/>
    <s v="Normal"/>
  </r>
  <r>
    <x v="1154"/>
    <x v="113"/>
    <s v="C53631"/>
    <x v="0"/>
    <n v="3"/>
    <n v="198.63"/>
    <s v="593 Main St"/>
    <x v="4"/>
    <x v="4"/>
    <s v="TRK67589167"/>
    <n v="8"/>
    <s v="SAVE10"/>
    <s v="Instagram"/>
    <x v="1149"/>
    <s v="Normal"/>
  </r>
  <r>
    <x v="1155"/>
    <x v="340"/>
    <s v="C41478"/>
    <x v="4"/>
    <n v="4"/>
    <n v="534.57000000000005"/>
    <s v="667 Main St"/>
    <x v="2"/>
    <x v="3"/>
    <s v="TRK62068126"/>
    <n v="6"/>
    <s v="FREESHIP"/>
    <s v="Facebook"/>
    <x v="1150"/>
    <s v="Normal"/>
  </r>
  <r>
    <x v="1156"/>
    <x v="45"/>
    <s v="C20512"/>
    <x v="5"/>
    <n v="4"/>
    <n v="690.78"/>
    <s v="980 Main St"/>
    <x v="2"/>
    <x v="0"/>
    <s v="TRK98234737"/>
    <n v="9"/>
    <s v="No Coupon"/>
    <s v="Referral"/>
    <x v="1151"/>
    <s v="Normal"/>
  </r>
  <r>
    <x v="1157"/>
    <x v="382"/>
    <s v="C25841"/>
    <x v="0"/>
    <n v="3"/>
    <n v="301.55"/>
    <s v="242 Main St"/>
    <x v="0"/>
    <x v="3"/>
    <s v="TRK21451375"/>
    <n v="5"/>
    <s v="FREESHIP"/>
    <s v="Google"/>
    <x v="1152"/>
    <s v="Normal"/>
  </r>
  <r>
    <x v="1158"/>
    <x v="197"/>
    <s v="C82781"/>
    <x v="0"/>
    <n v="4"/>
    <n v="27.42"/>
    <s v="661 Main St"/>
    <x v="0"/>
    <x v="4"/>
    <s v="TRK20605418"/>
    <n v="4"/>
    <s v="SAVE10"/>
    <s v="Referral"/>
    <x v="1153"/>
    <s v="Normal"/>
  </r>
  <r>
    <x v="1159"/>
    <x v="203"/>
    <s v="C66112"/>
    <x v="6"/>
    <n v="4"/>
    <n v="466.7"/>
    <s v="874 Main St"/>
    <x v="0"/>
    <x v="2"/>
    <s v="TRK60955607"/>
    <n v="8"/>
    <s v="No Coupon"/>
    <s v="Instagram"/>
    <x v="1154"/>
    <s v="Normal"/>
  </r>
  <r>
    <x v="1160"/>
    <x v="333"/>
    <s v="C40466"/>
    <x v="6"/>
    <n v="1"/>
    <n v="541.64"/>
    <s v="449 Main St"/>
    <x v="0"/>
    <x v="0"/>
    <s v="TRK70255168"/>
    <n v="5"/>
    <s v="SAVE10"/>
    <s v="Email"/>
    <x v="1155"/>
    <s v="Normal"/>
  </r>
  <r>
    <x v="1161"/>
    <x v="504"/>
    <s v="C32570"/>
    <x v="1"/>
    <n v="1"/>
    <n v="11.39"/>
    <s v="826 Main St"/>
    <x v="4"/>
    <x v="1"/>
    <s v="TRK35969968"/>
    <n v="6"/>
    <s v="WINTER15"/>
    <s v="Email"/>
    <x v="1156"/>
    <s v="Normal"/>
  </r>
  <r>
    <x v="1162"/>
    <x v="660"/>
    <s v="C29405"/>
    <x v="1"/>
    <n v="2"/>
    <n v="224.37"/>
    <s v="251 Main St"/>
    <x v="0"/>
    <x v="3"/>
    <s v="TRK33125798"/>
    <n v="3"/>
    <s v="WINTER15"/>
    <s v="Referral"/>
    <x v="1157"/>
    <s v="Normal"/>
  </r>
  <r>
    <x v="1163"/>
    <x v="184"/>
    <s v="C30643"/>
    <x v="5"/>
    <n v="3"/>
    <n v="306.29000000000002"/>
    <s v="966 Main St"/>
    <x v="2"/>
    <x v="2"/>
    <s v="TRK19477485"/>
    <n v="7"/>
    <s v="WINTER15"/>
    <s v="Instagram"/>
    <x v="1158"/>
    <s v="Normal"/>
  </r>
  <r>
    <x v="1164"/>
    <x v="649"/>
    <s v="C65890"/>
    <x v="2"/>
    <n v="5"/>
    <n v="315.57"/>
    <s v="340 Main St"/>
    <x v="0"/>
    <x v="3"/>
    <s v="TRK64530489"/>
    <n v="6"/>
    <s v="WINTER15"/>
    <s v="Email"/>
    <x v="1159"/>
    <s v="Normal"/>
  </r>
  <r>
    <x v="1165"/>
    <x v="328"/>
    <s v="C36992"/>
    <x v="3"/>
    <n v="3"/>
    <n v="223.79"/>
    <s v="617 Main St"/>
    <x v="0"/>
    <x v="4"/>
    <s v="TRK63460217"/>
    <n v="3"/>
    <s v="No Coupon"/>
    <s v="Google"/>
    <x v="1160"/>
    <s v="Normal"/>
  </r>
  <r>
    <x v="1166"/>
    <x v="48"/>
    <s v="C95568"/>
    <x v="3"/>
    <n v="3"/>
    <n v="324.47000000000003"/>
    <s v="971 Main St"/>
    <x v="4"/>
    <x v="3"/>
    <s v="TRK37075292"/>
    <n v="4"/>
    <s v="WINTER15"/>
    <s v="Email"/>
    <x v="1161"/>
    <s v="Normal"/>
  </r>
  <r>
    <x v="1167"/>
    <x v="661"/>
    <s v="C17966"/>
    <x v="4"/>
    <n v="2"/>
    <n v="92.87"/>
    <s v="360 Main St"/>
    <x v="2"/>
    <x v="4"/>
    <s v="TRK31169396"/>
    <n v="5"/>
    <s v="FREESHIP"/>
    <s v="Facebook"/>
    <x v="1162"/>
    <s v="Normal"/>
  </r>
  <r>
    <x v="1168"/>
    <x v="505"/>
    <s v="C89559"/>
    <x v="5"/>
    <n v="2"/>
    <n v="331.42"/>
    <s v="297 Main St"/>
    <x v="2"/>
    <x v="3"/>
    <s v="TRK82838108"/>
    <n v="6"/>
    <s v="WINTER15"/>
    <s v="Google"/>
    <x v="1163"/>
    <s v="Normal"/>
  </r>
  <r>
    <x v="1169"/>
    <x v="662"/>
    <s v="C15849"/>
    <x v="3"/>
    <n v="1"/>
    <n v="525.42999999999995"/>
    <s v="643 Main St"/>
    <x v="4"/>
    <x v="1"/>
    <s v="TRK26794546"/>
    <n v="2"/>
    <s v="SAVE10"/>
    <s v="Instagram"/>
    <x v="1164"/>
    <s v="Normal"/>
  </r>
  <r>
    <x v="1170"/>
    <x v="567"/>
    <s v="C94257"/>
    <x v="4"/>
    <n v="2"/>
    <n v="697.19"/>
    <s v="762 Main St"/>
    <x v="4"/>
    <x v="2"/>
    <s v="TRK40220743"/>
    <n v="7"/>
    <s v="FREESHIP"/>
    <s v="Email"/>
    <x v="1165"/>
    <s v="Normal"/>
  </r>
  <r>
    <x v="1171"/>
    <x v="81"/>
    <s v="C39911"/>
    <x v="1"/>
    <n v="4"/>
    <n v="518.4"/>
    <s v="699 Main St"/>
    <x v="2"/>
    <x v="3"/>
    <s v="TRK80431998"/>
    <n v="7"/>
    <s v="SAVE10"/>
    <s v="Facebook"/>
    <x v="1166"/>
    <s v="Normal"/>
  </r>
  <r>
    <x v="1172"/>
    <x v="496"/>
    <s v="C28828"/>
    <x v="6"/>
    <n v="3"/>
    <n v="131.96"/>
    <s v="745 Main St"/>
    <x v="2"/>
    <x v="4"/>
    <s v="TRK32550359"/>
    <n v="8"/>
    <s v="No Coupon"/>
    <s v="Instagram"/>
    <x v="1167"/>
    <s v="Normal"/>
  </r>
  <r>
    <x v="1173"/>
    <x v="449"/>
    <s v="C82921"/>
    <x v="0"/>
    <n v="1"/>
    <n v="208.36"/>
    <s v="703 Main St"/>
    <x v="1"/>
    <x v="0"/>
    <s v="TRK31079911"/>
    <n v="4"/>
    <s v="FREESHIP"/>
    <s v="Email"/>
    <x v="1168"/>
    <s v="Normal"/>
  </r>
  <r>
    <x v="1174"/>
    <x v="110"/>
    <s v="C50159"/>
    <x v="4"/>
    <n v="3"/>
    <n v="222.34"/>
    <s v="105 Main St"/>
    <x v="2"/>
    <x v="2"/>
    <s v="TRK53737452"/>
    <n v="5"/>
    <s v="WINTER15"/>
    <s v="Email"/>
    <x v="1169"/>
    <s v="Normal"/>
  </r>
  <r>
    <x v="1175"/>
    <x v="663"/>
    <s v="C62512"/>
    <x v="4"/>
    <n v="3"/>
    <n v="91.74"/>
    <s v="368 Main St"/>
    <x v="0"/>
    <x v="2"/>
    <s v="TRK24139954"/>
    <n v="8"/>
    <s v="FREESHIP"/>
    <s v="Referral"/>
    <x v="1170"/>
    <s v="Normal"/>
  </r>
  <r>
    <x v="1176"/>
    <x v="340"/>
    <s v="C39260"/>
    <x v="2"/>
    <n v="2"/>
    <n v="213.83"/>
    <s v="374 Main St"/>
    <x v="0"/>
    <x v="1"/>
    <s v="TRK55587314"/>
    <n v="2"/>
    <s v="WINTER15"/>
    <s v="Email"/>
    <x v="1171"/>
    <s v="Normal"/>
  </r>
  <r>
    <x v="1177"/>
    <x v="664"/>
    <s v="C23917"/>
    <x v="4"/>
    <n v="1"/>
    <n v="127.55"/>
    <s v="433 Main St"/>
    <x v="4"/>
    <x v="0"/>
    <s v="TRK44434536"/>
    <n v="3"/>
    <s v="SAVE10"/>
    <s v="Referral"/>
    <x v="1172"/>
    <s v="Normal"/>
  </r>
  <r>
    <x v="1178"/>
    <x v="50"/>
    <s v="C65107"/>
    <x v="0"/>
    <n v="1"/>
    <n v="70.239999999999995"/>
    <s v="456 Main St"/>
    <x v="2"/>
    <x v="1"/>
    <s v="TRK10261578"/>
    <n v="4"/>
    <s v="FREESHIP"/>
    <s v="Google"/>
    <x v="1173"/>
    <s v="Normal"/>
  </r>
  <r>
    <x v="1179"/>
    <x v="124"/>
    <s v="C84630"/>
    <x v="5"/>
    <n v="5"/>
    <n v="518.54999999999995"/>
    <s v="907 Main St"/>
    <x v="2"/>
    <x v="1"/>
    <s v="TRK48054997"/>
    <n v="6"/>
    <s v="WINTER15"/>
    <s v="Instagram"/>
    <x v="1174"/>
    <s v="Normal"/>
  </r>
  <r>
    <x v="1180"/>
    <x v="150"/>
    <s v="C42235"/>
    <x v="3"/>
    <n v="4"/>
    <n v="298.36"/>
    <s v="722 Main St"/>
    <x v="0"/>
    <x v="4"/>
    <s v="TRK49379882"/>
    <n v="8"/>
    <s v="FREESHIP"/>
    <s v="Google"/>
    <x v="1175"/>
    <s v="Normal"/>
  </r>
  <r>
    <x v="1181"/>
    <x v="152"/>
    <s v="C70246"/>
    <x v="6"/>
    <n v="3"/>
    <n v="158.74"/>
    <s v="293 Main St"/>
    <x v="1"/>
    <x v="4"/>
    <s v="TRK45708320"/>
    <n v="7"/>
    <s v="FREESHIP"/>
    <s v="Instagram"/>
    <x v="1176"/>
    <s v="Normal"/>
  </r>
  <r>
    <x v="1182"/>
    <x v="554"/>
    <s v="C18473"/>
    <x v="3"/>
    <n v="2"/>
    <n v="420.29"/>
    <s v="700 Main St"/>
    <x v="3"/>
    <x v="2"/>
    <s v="TRK97834202"/>
    <n v="3"/>
    <s v="SAVE10"/>
    <s v="Google"/>
    <x v="1177"/>
    <s v="Normal"/>
  </r>
  <r>
    <x v="1183"/>
    <x v="228"/>
    <s v="C12607"/>
    <x v="6"/>
    <n v="1"/>
    <n v="281.52"/>
    <s v="460 Main St"/>
    <x v="3"/>
    <x v="0"/>
    <s v="TRK83653396"/>
    <n v="6"/>
    <s v="WINTER15"/>
    <s v="Referral"/>
    <x v="1178"/>
    <s v="Normal"/>
  </r>
  <r>
    <x v="1184"/>
    <x v="610"/>
    <s v="C10222"/>
    <x v="5"/>
    <n v="1"/>
    <n v="204.08"/>
    <s v="979 Main St"/>
    <x v="3"/>
    <x v="2"/>
    <s v="TRK86297895"/>
    <n v="4"/>
    <s v="No Coupon"/>
    <s v="Google"/>
    <x v="1179"/>
    <s v="Normal"/>
  </r>
  <r>
    <x v="1185"/>
    <x v="665"/>
    <s v="C77344"/>
    <x v="3"/>
    <n v="1"/>
    <n v="343.31"/>
    <s v="777 Main St"/>
    <x v="3"/>
    <x v="2"/>
    <s v="TRK20605055"/>
    <n v="6"/>
    <s v="SAVE10"/>
    <s v="Google"/>
    <x v="1180"/>
    <s v="Normal"/>
  </r>
  <r>
    <x v="1186"/>
    <x v="134"/>
    <s v="C65497"/>
    <x v="0"/>
    <n v="1"/>
    <n v="163.32"/>
    <s v="676 Main St"/>
    <x v="4"/>
    <x v="0"/>
    <s v="TRK83702761"/>
    <n v="6"/>
    <s v="WINTER15"/>
    <s v="Facebook"/>
    <x v="1181"/>
    <s v="Normal"/>
  </r>
  <r>
    <x v="1187"/>
    <x v="206"/>
    <s v="C26340"/>
    <x v="6"/>
    <n v="2"/>
    <n v="184.6"/>
    <s v="562 Main St"/>
    <x v="3"/>
    <x v="3"/>
    <s v="TRK59962703"/>
    <n v="7"/>
    <s v="WINTER15"/>
    <s v="Email"/>
    <x v="1182"/>
    <s v="Normal"/>
  </r>
  <r>
    <x v="1188"/>
    <x v="47"/>
    <s v="C75619"/>
    <x v="4"/>
    <n v="2"/>
    <n v="371.29"/>
    <s v="924 Main St"/>
    <x v="3"/>
    <x v="0"/>
    <s v="TRK23086941"/>
    <n v="5"/>
    <s v="WINTER15"/>
    <s v="Facebook"/>
    <x v="1183"/>
    <s v="Normal"/>
  </r>
  <r>
    <x v="1189"/>
    <x v="666"/>
    <s v="C96136"/>
    <x v="2"/>
    <n v="5"/>
    <n v="389.22"/>
    <s v="149 Main St"/>
    <x v="4"/>
    <x v="1"/>
    <s v="TRK60856682"/>
    <n v="7"/>
    <s v="No Coupon"/>
    <s v="Referral"/>
    <x v="1184"/>
    <s v="Normal"/>
  </r>
  <r>
    <x v="1190"/>
    <x v="647"/>
    <s v="C46886"/>
    <x v="6"/>
    <n v="3"/>
    <n v="616.39"/>
    <s v="754 Main St"/>
    <x v="2"/>
    <x v="0"/>
    <s v="TRK82791646"/>
    <n v="6"/>
    <s v="FREESHIP"/>
    <s v="Instagram"/>
    <x v="1185"/>
    <s v="Normal"/>
  </r>
  <r>
    <x v="1191"/>
    <x v="441"/>
    <s v="C44148"/>
    <x v="6"/>
    <n v="4"/>
    <n v="376.43"/>
    <s v="809 Main St"/>
    <x v="3"/>
    <x v="4"/>
    <s v="TRK67872709"/>
    <n v="5"/>
    <s v="WINTER15"/>
    <s v="Instagram"/>
    <x v="1186"/>
    <s v="Normal"/>
  </r>
  <r>
    <x v="1192"/>
    <x v="329"/>
    <s v="C72007"/>
    <x v="3"/>
    <n v="3"/>
    <n v="432.85"/>
    <s v="999 Main St"/>
    <x v="1"/>
    <x v="4"/>
    <s v="TRK16240916"/>
    <n v="4"/>
    <s v="No Coupon"/>
    <s v="Instagram"/>
    <x v="1187"/>
    <s v="Normal"/>
  </r>
  <r>
    <x v="1193"/>
    <x v="667"/>
    <s v="C45104"/>
    <x v="2"/>
    <n v="1"/>
    <n v="687.89"/>
    <s v="348 Main St"/>
    <x v="4"/>
    <x v="2"/>
    <s v="TRK38559816"/>
    <n v="1"/>
    <s v="FREESHIP"/>
    <s v="Email"/>
    <x v="1188"/>
    <s v="Normal"/>
  </r>
  <r>
    <x v="1194"/>
    <x v="614"/>
    <s v="C29885"/>
    <x v="4"/>
    <n v="3"/>
    <n v="189.44"/>
    <s v="725 Main St"/>
    <x v="4"/>
    <x v="4"/>
    <s v="TRK62067865"/>
    <n v="4"/>
    <s v="FREESHIP"/>
    <s v="Email"/>
    <x v="1189"/>
    <s v="Normal"/>
  </r>
  <r>
    <x v="1195"/>
    <x v="643"/>
    <s v="C21126"/>
    <x v="6"/>
    <n v="1"/>
    <n v="107.04"/>
    <s v="392 Main St"/>
    <x v="2"/>
    <x v="1"/>
    <s v="TRK38009181"/>
    <n v="6"/>
    <s v="FREESHIP"/>
    <s v="Google"/>
    <x v="1190"/>
    <s v="Normal"/>
  </r>
  <r>
    <x v="1196"/>
    <x v="668"/>
    <s v="C20095"/>
    <x v="0"/>
    <n v="2"/>
    <n v="662.53"/>
    <s v="778 Main St"/>
    <x v="1"/>
    <x v="1"/>
    <s v="TRK69207593"/>
    <n v="5"/>
    <s v="No Coupon"/>
    <s v="Facebook"/>
    <x v="1191"/>
    <s v="Normal"/>
  </r>
  <r>
    <x v="1197"/>
    <x v="669"/>
    <s v="C79674"/>
    <x v="2"/>
    <n v="2"/>
    <n v="436.84"/>
    <s v="275 Main St"/>
    <x v="1"/>
    <x v="3"/>
    <s v="TRK88039356"/>
    <n v="2"/>
    <s v="FREESHIP"/>
    <s v="Instagram"/>
    <x v="1192"/>
    <s v="Normal"/>
  </r>
  <r>
    <x v="1198"/>
    <x v="670"/>
    <s v="C64753"/>
    <x v="3"/>
    <n v="4"/>
    <n v="262.52"/>
    <s v="509 Main St"/>
    <x v="0"/>
    <x v="1"/>
    <s v="TRK71683331"/>
    <n v="4"/>
    <s v="WINTER15"/>
    <s v="Instagram"/>
    <x v="1193"/>
    <s v="Normal"/>
  </r>
  <r>
    <x v="1199"/>
    <x v="236"/>
    <s v="C57502"/>
    <x v="2"/>
    <n v="4"/>
    <n v="560.58000000000004"/>
    <s v="201 Main St"/>
    <x v="3"/>
    <x v="2"/>
    <s v="TRK51116746"/>
    <n v="6"/>
    <s v="No Coupon"/>
    <s v="Referral"/>
    <x v="1194"/>
    <s v="Normal"/>
  </r>
  <r>
    <x v="1200"/>
    <x v="671"/>
    <m/>
    <x v="7"/>
    <m/>
    <m/>
    <m/>
    <x v="5"/>
    <x v="5"/>
    <m/>
    <m/>
    <n v="0"/>
    <m/>
    <x v="119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C12" firstHeaderRow="0" firstDataRow="1" firstDataCol="1"/>
  <pivotFields count="16">
    <pivotField dataField="1"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9">
        <item x="3"/>
        <item x="6"/>
        <item x="5"/>
        <item x="0"/>
        <item x="1"/>
        <item x="4"/>
        <item x="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197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x="1195"/>
        <item t="default"/>
      </items>
    </pivotField>
    <pivotField showAl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Price" fld="13" baseField="3" baseItem="0"/>
    <dataField name="Count of Order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39" firstHeaderRow="1" firstDataRow="1" firstDataCol="1"/>
  <pivotFields count="16"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197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x="1195"/>
        <item t="default"/>
      </items>
    </pivotField>
    <pivotField showAll="0"/>
    <pivotField axis="axisRow" showAll="0" defaultSubtotal="0">
      <items count="5">
        <item x="0"/>
        <item x="1"/>
        <item x="2"/>
        <item x="3"/>
        <item x="4"/>
      </items>
    </pivotField>
  </pivotFields>
  <rowFields count="2">
    <field x="15"/>
    <field x="1"/>
  </rowFields>
  <rowItems count="36">
    <i>
      <x/>
    </i>
    <i r="1">
      <x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 of TotalPrice" fld="13" baseField="15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10" firstHeaderRow="1" firstDataRow="1" firstDataCol="1"/>
  <pivotFields count="16">
    <pivotField dataField="1"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2"/>
        <item x="0"/>
        <item x="3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 defaultSubtota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10" firstHeaderRow="1" firstDataRow="1" firstDataCol="1"/>
  <pivotFields count="16">
    <pivotField dataField="1"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3"/>
        <item x="4"/>
        <item x="2"/>
        <item x="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02"/>
  <sheetViews>
    <sheetView workbookViewId="0">
      <selection activeCell="A2" sqref="A2"/>
    </sheetView>
  </sheetViews>
  <sheetFormatPr defaultRowHeight="15"/>
  <cols>
    <col min="1" max="1" width="12.5703125" bestFit="1" customWidth="1"/>
    <col min="2" max="2" width="10.42578125" bestFit="1" customWidth="1"/>
    <col min="3" max="3" width="16" bestFit="1" customWidth="1"/>
    <col min="4" max="4" width="12.42578125" bestFit="1" customWidth="1"/>
    <col min="5" max="5" width="13.28515625" bestFit="1" customWidth="1"/>
    <col min="6" max="6" width="13.85546875" bestFit="1" customWidth="1"/>
    <col min="7" max="7" width="20.5703125" bestFit="1" customWidth="1"/>
    <col min="8" max="8" width="20.7109375" bestFit="1" customWidth="1"/>
    <col min="9" max="9" width="16.140625" bestFit="1" customWidth="1"/>
    <col min="10" max="10" width="20.28515625" bestFit="1" customWidth="1"/>
    <col min="11" max="11" width="15.85546875" bestFit="1" customWidth="1"/>
    <col min="12" max="12" width="17" bestFit="1" customWidth="1"/>
    <col min="13" max="13" width="18.85546875" bestFit="1" customWidth="1"/>
    <col min="14" max="14" width="14.42578125" style="6" bestFit="1" customWidth="1"/>
    <col min="15" max="15" width="11.7109375" style="7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  <c r="O1" s="11" t="s">
        <v>4317</v>
      </c>
    </row>
    <row r="2" spans="1:1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6">
        <v>2853.1</v>
      </c>
      <c r="O2" s="7" t="str">
        <f>IF(OR(N2&lt;-1341.41,N2&gt;3330.41),"Outlier","Normal")</f>
        <v>Normal</v>
      </c>
    </row>
    <row r="3" spans="1:1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6">
        <v>302.7</v>
      </c>
      <c r="O3" s="7" t="str">
        <f t="shared" ref="O3:O66" si="0">IF(OR(N3&lt;-1341.41,N3&gt;3330.41),"Outlier","Normal")</f>
        <v>Normal</v>
      </c>
    </row>
    <row r="4" spans="1:1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6">
        <v>2753.4</v>
      </c>
      <c r="O4" s="7" t="str">
        <f t="shared" si="0"/>
        <v>Normal</v>
      </c>
    </row>
    <row r="5" spans="1:1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6">
        <v>273.19</v>
      </c>
      <c r="O5" s="7" t="str">
        <f t="shared" si="0"/>
        <v>Normal</v>
      </c>
    </row>
    <row r="6" spans="1:1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6">
        <v>2504.04</v>
      </c>
      <c r="O6" s="7" t="str">
        <f t="shared" si="0"/>
        <v>Normal</v>
      </c>
    </row>
    <row r="7" spans="1:1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6">
        <v>491.72</v>
      </c>
      <c r="O7" s="7" t="str">
        <f t="shared" si="0"/>
        <v>Normal</v>
      </c>
    </row>
    <row r="8" spans="1:1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6">
        <v>664.42</v>
      </c>
      <c r="O8" s="7" t="str">
        <f t="shared" si="0"/>
        <v>Normal</v>
      </c>
    </row>
    <row r="9" spans="1:1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6">
        <v>747.75</v>
      </c>
      <c r="O9" s="7" t="str">
        <f t="shared" si="0"/>
        <v>Normal</v>
      </c>
    </row>
    <row r="10" spans="1:1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s="3" t="s">
        <v>4283</v>
      </c>
      <c r="M10" t="s">
        <v>4280</v>
      </c>
      <c r="N10" s="6">
        <v>268.56</v>
      </c>
      <c r="O10" s="7" t="str">
        <f t="shared" si="0"/>
        <v>Normal</v>
      </c>
    </row>
    <row r="11" spans="1:1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6">
        <v>2037.52</v>
      </c>
      <c r="O11" s="7" t="str">
        <f t="shared" si="0"/>
        <v>Normal</v>
      </c>
    </row>
    <row r="12" spans="1:1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6">
        <v>3129.85</v>
      </c>
      <c r="O12" s="7" t="str">
        <f t="shared" si="0"/>
        <v>Normal</v>
      </c>
    </row>
    <row r="13" spans="1:1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6">
        <v>147.41999999999999</v>
      </c>
      <c r="O13" s="7" t="str">
        <f t="shared" si="0"/>
        <v>Normal</v>
      </c>
    </row>
    <row r="14" spans="1:1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6">
        <v>361</v>
      </c>
      <c r="O14" s="7" t="str">
        <f t="shared" si="0"/>
        <v>Normal</v>
      </c>
    </row>
    <row r="15" spans="1:1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6">
        <v>604.47</v>
      </c>
      <c r="O15" s="7" t="str">
        <f t="shared" si="0"/>
        <v>Normal</v>
      </c>
    </row>
    <row r="16" spans="1:1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6">
        <v>786.66</v>
      </c>
      <c r="O16" s="7" t="str">
        <f t="shared" si="0"/>
        <v>Normal</v>
      </c>
    </row>
    <row r="17" spans="1:16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s="3" t="s">
        <v>4283</v>
      </c>
      <c r="M17" t="s">
        <v>4282</v>
      </c>
      <c r="N17" s="6">
        <v>473.96</v>
      </c>
      <c r="O17" s="7" t="str">
        <f t="shared" si="0"/>
        <v>Normal</v>
      </c>
    </row>
    <row r="18" spans="1:16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6">
        <v>1067.6199999999999</v>
      </c>
      <c r="O18" s="7" t="str">
        <f t="shared" si="0"/>
        <v>Normal</v>
      </c>
    </row>
    <row r="19" spans="1:16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s="3" t="s">
        <v>4283</v>
      </c>
      <c r="M19" t="s">
        <v>4279</v>
      </c>
      <c r="N19" s="6">
        <v>423.4</v>
      </c>
      <c r="O19" s="7" t="str">
        <f t="shared" si="0"/>
        <v>Normal</v>
      </c>
    </row>
    <row r="20" spans="1:16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6">
        <v>431.44</v>
      </c>
      <c r="O20" s="7" t="str">
        <f t="shared" si="0"/>
        <v>Normal</v>
      </c>
    </row>
    <row r="21" spans="1:16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6">
        <v>1120</v>
      </c>
      <c r="O21" s="7" t="str">
        <f t="shared" si="0"/>
        <v>Normal</v>
      </c>
    </row>
    <row r="22" spans="1:16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6">
        <v>312.55</v>
      </c>
      <c r="O22" s="7" t="str">
        <f t="shared" si="0"/>
        <v>Normal</v>
      </c>
    </row>
    <row r="23" spans="1:16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s="3" t="s">
        <v>4283</v>
      </c>
      <c r="M23" t="s">
        <v>4282</v>
      </c>
      <c r="N23" s="6">
        <v>1371.8</v>
      </c>
      <c r="O23" s="7" t="str">
        <f t="shared" si="0"/>
        <v>Normal</v>
      </c>
    </row>
    <row r="24" spans="1:16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6">
        <v>99.24</v>
      </c>
      <c r="O24" s="7" t="str">
        <f t="shared" si="0"/>
        <v>Normal</v>
      </c>
    </row>
    <row r="25" spans="1:16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6">
        <v>1093</v>
      </c>
      <c r="O25" s="7" t="str">
        <f t="shared" si="0"/>
        <v>Normal</v>
      </c>
    </row>
    <row r="26" spans="1:16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6">
        <v>461.9</v>
      </c>
      <c r="O26" s="7" t="str">
        <f t="shared" si="0"/>
        <v>Normal</v>
      </c>
    </row>
    <row r="27" spans="1:16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6">
        <v>399.98</v>
      </c>
      <c r="O27" s="7" t="str">
        <f t="shared" si="0"/>
        <v>Normal</v>
      </c>
    </row>
    <row r="28" spans="1:16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s="3" t="s">
        <v>4283</v>
      </c>
      <c r="M28" t="s">
        <v>4279</v>
      </c>
      <c r="N28" s="6">
        <v>297.75</v>
      </c>
      <c r="O28" s="7" t="str">
        <f t="shared" si="0"/>
        <v>Normal</v>
      </c>
    </row>
    <row r="29" spans="1:16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6">
        <v>472.74</v>
      </c>
      <c r="O29" s="7" t="str">
        <f t="shared" si="0"/>
        <v>Normal</v>
      </c>
    </row>
    <row r="30" spans="1:16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s="3" t="s">
        <v>4283</v>
      </c>
      <c r="M30" t="s">
        <v>4280</v>
      </c>
      <c r="N30" s="6">
        <v>640.28</v>
      </c>
      <c r="O30" s="7" t="str">
        <f t="shared" si="0"/>
        <v>Normal</v>
      </c>
    </row>
    <row r="31" spans="1:16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6">
        <v>1270.5899999999999</v>
      </c>
      <c r="O31" s="7" t="str">
        <f t="shared" si="0"/>
        <v>Normal</v>
      </c>
      <c r="P31" s="6"/>
    </row>
    <row r="32" spans="1:16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6">
        <v>853.4</v>
      </c>
      <c r="O32" s="7" t="str">
        <f t="shared" si="0"/>
        <v>Normal</v>
      </c>
    </row>
    <row r="33" spans="1:1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s="3" t="s">
        <v>4283</v>
      </c>
      <c r="M33" t="s">
        <v>4281</v>
      </c>
      <c r="N33" s="6">
        <v>1500.24</v>
      </c>
      <c r="O33" s="7" t="str">
        <f t="shared" si="0"/>
        <v>Normal</v>
      </c>
    </row>
    <row r="34" spans="1:1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s="3" t="s">
        <v>4283</v>
      </c>
      <c r="M34" t="s">
        <v>4280</v>
      </c>
      <c r="N34" s="6">
        <v>2683.6</v>
      </c>
      <c r="O34" s="7" t="str">
        <f t="shared" si="0"/>
        <v>Normal</v>
      </c>
    </row>
    <row r="35" spans="1:1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6">
        <v>162.77000000000001</v>
      </c>
      <c r="O35" s="7" t="str">
        <f t="shared" si="0"/>
        <v>Normal</v>
      </c>
    </row>
    <row r="36" spans="1:1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6">
        <v>2306.08</v>
      </c>
      <c r="O36" s="7" t="str">
        <f t="shared" si="0"/>
        <v>Normal</v>
      </c>
    </row>
    <row r="37" spans="1:1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6">
        <v>930.3</v>
      </c>
      <c r="O37" s="7" t="str">
        <f t="shared" si="0"/>
        <v>Normal</v>
      </c>
    </row>
    <row r="38" spans="1:1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s="3" t="s">
        <v>4283</v>
      </c>
      <c r="M38" t="s">
        <v>4281</v>
      </c>
      <c r="N38" s="6">
        <v>1068.8599999999999</v>
      </c>
      <c r="O38" s="7" t="str">
        <f t="shared" si="0"/>
        <v>Normal</v>
      </c>
    </row>
    <row r="39" spans="1:1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6">
        <v>153.47999999999999</v>
      </c>
      <c r="O39" s="7" t="str">
        <f t="shared" si="0"/>
        <v>Normal</v>
      </c>
    </row>
    <row r="40" spans="1:1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6">
        <v>245.89</v>
      </c>
      <c r="O40" s="7" t="str">
        <f t="shared" si="0"/>
        <v>Normal</v>
      </c>
    </row>
    <row r="41" spans="1:1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6">
        <v>769.37999999999988</v>
      </c>
      <c r="O41" s="7" t="str">
        <f t="shared" si="0"/>
        <v>Normal</v>
      </c>
    </row>
    <row r="42" spans="1:1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6">
        <v>688.04</v>
      </c>
      <c r="O42" s="7" t="str">
        <f t="shared" si="0"/>
        <v>Normal</v>
      </c>
    </row>
    <row r="43" spans="1:1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6">
        <v>1834.35</v>
      </c>
      <c r="O43" s="7" t="str">
        <f t="shared" si="0"/>
        <v>Normal</v>
      </c>
    </row>
    <row r="44" spans="1:1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s="3" t="s">
        <v>4283</v>
      </c>
      <c r="M44" t="s">
        <v>4278</v>
      </c>
      <c r="N44" s="6">
        <v>303.32</v>
      </c>
      <c r="O44" s="7" t="str">
        <f t="shared" si="0"/>
        <v>Normal</v>
      </c>
    </row>
    <row r="45" spans="1:1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s="3" t="s">
        <v>4283</v>
      </c>
      <c r="M45" t="s">
        <v>4278</v>
      </c>
      <c r="N45" s="6">
        <v>1497.63</v>
      </c>
      <c r="O45" s="7" t="str">
        <f t="shared" si="0"/>
        <v>Normal</v>
      </c>
    </row>
    <row r="46" spans="1:1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6">
        <v>1100.3599999999999</v>
      </c>
      <c r="O46" s="7" t="str">
        <f t="shared" si="0"/>
        <v>Normal</v>
      </c>
    </row>
    <row r="47" spans="1:1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6">
        <v>317.25</v>
      </c>
      <c r="O47" s="7" t="str">
        <f t="shared" si="0"/>
        <v>Normal</v>
      </c>
    </row>
    <row r="48" spans="1:1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6">
        <v>2200.56</v>
      </c>
      <c r="O48" s="7" t="str">
        <f t="shared" si="0"/>
        <v>Normal</v>
      </c>
    </row>
    <row r="49" spans="1:1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6">
        <v>419.88</v>
      </c>
      <c r="O49" s="7" t="str">
        <f t="shared" si="0"/>
        <v>Normal</v>
      </c>
    </row>
    <row r="50" spans="1:1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s="3" t="s">
        <v>4283</v>
      </c>
      <c r="M50" t="s">
        <v>4282</v>
      </c>
      <c r="N50" s="6">
        <v>161.54</v>
      </c>
      <c r="O50" s="7" t="str">
        <f t="shared" si="0"/>
        <v>Normal</v>
      </c>
    </row>
    <row r="51" spans="1:1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6">
        <v>30.44</v>
      </c>
      <c r="O51" s="7" t="str">
        <f t="shared" si="0"/>
        <v>Normal</v>
      </c>
    </row>
    <row r="52" spans="1:1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6">
        <v>179.22</v>
      </c>
      <c r="O52" s="7" t="str">
        <f t="shared" si="0"/>
        <v>Normal</v>
      </c>
    </row>
    <row r="53" spans="1:1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6">
        <v>388.33</v>
      </c>
      <c r="O53" s="7" t="str">
        <f t="shared" si="0"/>
        <v>Normal</v>
      </c>
    </row>
    <row r="54" spans="1:1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6">
        <v>586.44000000000005</v>
      </c>
      <c r="O54" s="7" t="str">
        <f t="shared" si="0"/>
        <v>Normal</v>
      </c>
    </row>
    <row r="55" spans="1:1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6">
        <v>1955.12</v>
      </c>
      <c r="O55" s="7" t="str">
        <f t="shared" si="0"/>
        <v>Normal</v>
      </c>
    </row>
    <row r="56" spans="1:1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6">
        <v>280.25</v>
      </c>
      <c r="O56" s="7" t="str">
        <f t="shared" si="0"/>
        <v>Normal</v>
      </c>
    </row>
    <row r="57" spans="1:1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s="3" t="s">
        <v>4283</v>
      </c>
      <c r="M57" t="s">
        <v>4281</v>
      </c>
      <c r="N57" s="6">
        <v>1033.2</v>
      </c>
      <c r="O57" s="7" t="str">
        <f t="shared" si="0"/>
        <v>Normal</v>
      </c>
    </row>
    <row r="58" spans="1:1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6">
        <v>1437.63</v>
      </c>
      <c r="O58" s="7" t="str">
        <f t="shared" si="0"/>
        <v>Normal</v>
      </c>
    </row>
    <row r="59" spans="1:1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6">
        <v>1571.35</v>
      </c>
      <c r="O59" s="7" t="str">
        <f t="shared" si="0"/>
        <v>Normal</v>
      </c>
    </row>
    <row r="60" spans="1:1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6">
        <v>1898.76</v>
      </c>
      <c r="O60" s="7" t="str">
        <f t="shared" si="0"/>
        <v>Normal</v>
      </c>
    </row>
    <row r="61" spans="1:1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s="3" t="s">
        <v>4283</v>
      </c>
      <c r="M61" t="s">
        <v>4281</v>
      </c>
      <c r="N61" s="6">
        <v>2373.08</v>
      </c>
      <c r="O61" s="7" t="str">
        <f t="shared" si="0"/>
        <v>Normal</v>
      </c>
    </row>
    <row r="62" spans="1:1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6">
        <v>417.1</v>
      </c>
      <c r="O62" s="7" t="str">
        <f t="shared" si="0"/>
        <v>Normal</v>
      </c>
    </row>
    <row r="63" spans="1:1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6">
        <v>488.8</v>
      </c>
      <c r="O63" s="7" t="str">
        <f t="shared" si="0"/>
        <v>Normal</v>
      </c>
    </row>
    <row r="64" spans="1:1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6">
        <v>86.3</v>
      </c>
      <c r="O64" s="7" t="str">
        <f t="shared" si="0"/>
        <v>Normal</v>
      </c>
    </row>
    <row r="65" spans="1:1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6">
        <v>564.86</v>
      </c>
      <c r="O65" s="7" t="str">
        <f t="shared" si="0"/>
        <v>Normal</v>
      </c>
    </row>
    <row r="66" spans="1:1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6">
        <v>391.83</v>
      </c>
      <c r="O66" s="7" t="str">
        <f t="shared" si="0"/>
        <v>Normal</v>
      </c>
    </row>
    <row r="67" spans="1:1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s="3" t="s">
        <v>4283</v>
      </c>
      <c r="M67" t="s">
        <v>4278</v>
      </c>
      <c r="N67" s="6">
        <v>408.5</v>
      </c>
      <c r="O67" s="7" t="str">
        <f t="shared" ref="O67:O130" si="1">IF(OR(N67&lt;-1341.41,N67&gt;3330.41),"Outlier","Normal")</f>
        <v>Normal</v>
      </c>
    </row>
    <row r="68" spans="1:1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6">
        <v>635.90000000000009</v>
      </c>
      <c r="O68" s="7" t="str">
        <f t="shared" si="1"/>
        <v>Normal</v>
      </c>
    </row>
    <row r="69" spans="1:1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s="3" t="s">
        <v>4283</v>
      </c>
      <c r="M69" t="s">
        <v>4282</v>
      </c>
      <c r="N69" s="6">
        <v>48.4</v>
      </c>
      <c r="O69" s="7" t="str">
        <f t="shared" si="1"/>
        <v>Normal</v>
      </c>
    </row>
    <row r="70" spans="1:1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6">
        <v>1472.76</v>
      </c>
      <c r="O70" s="7" t="str">
        <f t="shared" si="1"/>
        <v>Normal</v>
      </c>
    </row>
    <row r="71" spans="1:1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s="3" t="s">
        <v>4283</v>
      </c>
      <c r="M71" t="s">
        <v>4279</v>
      </c>
      <c r="N71" s="6">
        <v>1435.95</v>
      </c>
      <c r="O71" s="7" t="str">
        <f t="shared" si="1"/>
        <v>Normal</v>
      </c>
    </row>
    <row r="72" spans="1:1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6">
        <v>629.21</v>
      </c>
      <c r="O72" s="7" t="str">
        <f t="shared" si="1"/>
        <v>Normal</v>
      </c>
    </row>
    <row r="73" spans="1:1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s="3" t="s">
        <v>4283</v>
      </c>
      <c r="M73" t="s">
        <v>4279</v>
      </c>
      <c r="N73" s="6">
        <v>1303.3499999999999</v>
      </c>
      <c r="O73" s="7" t="str">
        <f t="shared" si="1"/>
        <v>Normal</v>
      </c>
    </row>
    <row r="74" spans="1:1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s="3" t="s">
        <v>4283</v>
      </c>
      <c r="M74" t="s">
        <v>4281</v>
      </c>
      <c r="N74" s="6">
        <v>2357.7600000000002</v>
      </c>
      <c r="O74" s="7" t="str">
        <f t="shared" si="1"/>
        <v>Normal</v>
      </c>
    </row>
    <row r="75" spans="1:1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s="3" t="s">
        <v>4283</v>
      </c>
      <c r="M75" t="s">
        <v>4281</v>
      </c>
      <c r="N75" s="6">
        <v>1733.8</v>
      </c>
      <c r="O75" s="7" t="str">
        <f t="shared" si="1"/>
        <v>Normal</v>
      </c>
    </row>
    <row r="76" spans="1:1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s="3" t="s">
        <v>4283</v>
      </c>
      <c r="M76" t="s">
        <v>4278</v>
      </c>
      <c r="N76" s="6">
        <v>454.35</v>
      </c>
      <c r="O76" s="7" t="str">
        <f t="shared" si="1"/>
        <v>Normal</v>
      </c>
    </row>
    <row r="77" spans="1:1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6">
        <v>1194.51</v>
      </c>
      <c r="O77" s="7" t="str">
        <f t="shared" si="1"/>
        <v>Normal</v>
      </c>
    </row>
    <row r="78" spans="1:1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6">
        <v>1531.52</v>
      </c>
      <c r="O78" s="7" t="str">
        <f t="shared" si="1"/>
        <v>Normal</v>
      </c>
    </row>
    <row r="79" spans="1:1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s="3" t="s">
        <v>4283</v>
      </c>
      <c r="M79" t="s">
        <v>4282</v>
      </c>
      <c r="N79" s="6">
        <v>583.17999999999995</v>
      </c>
      <c r="O79" s="7" t="str">
        <f t="shared" si="1"/>
        <v>Normal</v>
      </c>
    </row>
    <row r="80" spans="1:1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6">
        <v>701.44</v>
      </c>
      <c r="O80" s="7" t="str">
        <f t="shared" si="1"/>
        <v>Normal</v>
      </c>
    </row>
    <row r="81" spans="1:1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s="3" t="s">
        <v>4283</v>
      </c>
      <c r="M81" t="s">
        <v>4281</v>
      </c>
      <c r="N81" s="6">
        <v>623.82000000000005</v>
      </c>
      <c r="O81" s="7" t="str">
        <f t="shared" si="1"/>
        <v>Normal</v>
      </c>
    </row>
    <row r="82" spans="1:1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s="3" t="s">
        <v>4283</v>
      </c>
      <c r="M82" t="s">
        <v>4281</v>
      </c>
      <c r="N82" s="6">
        <v>1768.68</v>
      </c>
      <c r="O82" s="7" t="str">
        <f t="shared" si="1"/>
        <v>Normal</v>
      </c>
    </row>
    <row r="83" spans="1:1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6">
        <v>788.6</v>
      </c>
      <c r="O83" s="7" t="str">
        <f t="shared" si="1"/>
        <v>Normal</v>
      </c>
    </row>
    <row r="84" spans="1:1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6">
        <v>2260.8000000000002</v>
      </c>
      <c r="O84" s="7" t="str">
        <f t="shared" si="1"/>
        <v>Normal</v>
      </c>
    </row>
    <row r="85" spans="1:1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s="3" t="s">
        <v>4283</v>
      </c>
      <c r="M85" t="s">
        <v>4279</v>
      </c>
      <c r="N85" s="6">
        <v>2161.64</v>
      </c>
      <c r="O85" s="7" t="str">
        <f t="shared" si="1"/>
        <v>Normal</v>
      </c>
    </row>
    <row r="86" spans="1:1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6">
        <v>330.98</v>
      </c>
      <c r="O86" s="7" t="str">
        <f t="shared" si="1"/>
        <v>Normal</v>
      </c>
    </row>
    <row r="87" spans="1:1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6">
        <v>440.18999999999988</v>
      </c>
      <c r="O87" s="7" t="str">
        <f t="shared" si="1"/>
        <v>Normal</v>
      </c>
    </row>
    <row r="88" spans="1:1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6">
        <v>3215.15</v>
      </c>
      <c r="O88" s="7" t="str">
        <f t="shared" si="1"/>
        <v>Normal</v>
      </c>
    </row>
    <row r="89" spans="1:1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6">
        <v>675.33</v>
      </c>
      <c r="O89" s="7" t="str">
        <f t="shared" si="1"/>
        <v>Normal</v>
      </c>
    </row>
    <row r="90" spans="1:1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s="3" t="s">
        <v>4283</v>
      </c>
      <c r="M90" t="s">
        <v>4282</v>
      </c>
      <c r="N90" s="6">
        <v>344.43</v>
      </c>
      <c r="O90" s="7" t="str">
        <f t="shared" si="1"/>
        <v>Normal</v>
      </c>
    </row>
    <row r="91" spans="1:1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6">
        <v>2276.65</v>
      </c>
      <c r="O91" s="7" t="str">
        <f t="shared" si="1"/>
        <v>Normal</v>
      </c>
    </row>
    <row r="92" spans="1:1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6">
        <v>728.32</v>
      </c>
      <c r="O92" s="7" t="str">
        <f t="shared" si="1"/>
        <v>Normal</v>
      </c>
    </row>
    <row r="93" spans="1:1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6">
        <v>2463.75</v>
      </c>
      <c r="O93" s="7" t="str">
        <f t="shared" si="1"/>
        <v>Normal</v>
      </c>
    </row>
    <row r="94" spans="1:1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6">
        <v>194.44</v>
      </c>
      <c r="O94" s="7" t="str">
        <f t="shared" si="1"/>
        <v>Normal</v>
      </c>
    </row>
    <row r="95" spans="1:1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s="3" t="s">
        <v>4283</v>
      </c>
      <c r="M95" t="s">
        <v>4279</v>
      </c>
      <c r="N95" s="6">
        <v>1724.04</v>
      </c>
      <c r="O95" s="7" t="str">
        <f t="shared" si="1"/>
        <v>Normal</v>
      </c>
    </row>
    <row r="96" spans="1:1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6">
        <v>531.17999999999995</v>
      </c>
      <c r="O96" s="7" t="str">
        <f t="shared" si="1"/>
        <v>Normal</v>
      </c>
    </row>
    <row r="97" spans="1:1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s="3" t="s">
        <v>4283</v>
      </c>
      <c r="M97" t="s">
        <v>4279</v>
      </c>
      <c r="N97" s="6">
        <v>470.04</v>
      </c>
      <c r="O97" s="7" t="str">
        <f t="shared" si="1"/>
        <v>Normal</v>
      </c>
    </row>
    <row r="98" spans="1:1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s="3" t="s">
        <v>4283</v>
      </c>
      <c r="M98" t="s">
        <v>4278</v>
      </c>
      <c r="N98" s="6">
        <v>465.66</v>
      </c>
      <c r="O98" s="7" t="str">
        <f t="shared" si="1"/>
        <v>Normal</v>
      </c>
    </row>
    <row r="99" spans="1:1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s="3" t="s">
        <v>4283</v>
      </c>
      <c r="M99" t="s">
        <v>4280</v>
      </c>
      <c r="N99" s="6">
        <v>3097.6</v>
      </c>
      <c r="O99" s="7" t="str">
        <f t="shared" si="1"/>
        <v>Normal</v>
      </c>
    </row>
    <row r="100" spans="1:1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s="3" t="s">
        <v>4283</v>
      </c>
      <c r="M100" t="s">
        <v>4280</v>
      </c>
      <c r="N100" s="6">
        <v>457.08</v>
      </c>
      <c r="O100" s="7" t="str">
        <f t="shared" si="1"/>
        <v>Normal</v>
      </c>
    </row>
    <row r="101" spans="1:1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6">
        <v>201.58</v>
      </c>
      <c r="O101" s="7" t="str">
        <f t="shared" si="1"/>
        <v>Normal</v>
      </c>
    </row>
    <row r="102" spans="1:1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s="3" t="s">
        <v>4283</v>
      </c>
      <c r="M102" t="s">
        <v>4281</v>
      </c>
      <c r="N102" s="6">
        <v>1994.37</v>
      </c>
      <c r="O102" s="7" t="str">
        <f t="shared" si="1"/>
        <v>Normal</v>
      </c>
    </row>
    <row r="103" spans="1:1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s="3" t="s">
        <v>4283</v>
      </c>
      <c r="M103" t="s">
        <v>4282</v>
      </c>
      <c r="N103" s="6">
        <v>381.02</v>
      </c>
      <c r="O103" s="7" t="str">
        <f t="shared" si="1"/>
        <v>Normal</v>
      </c>
    </row>
    <row r="104" spans="1:1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6">
        <v>140.68</v>
      </c>
      <c r="O104" s="7" t="str">
        <f t="shared" si="1"/>
        <v>Normal</v>
      </c>
    </row>
    <row r="105" spans="1:1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6">
        <v>873.72</v>
      </c>
      <c r="O105" s="7" t="str">
        <f t="shared" si="1"/>
        <v>Normal</v>
      </c>
    </row>
    <row r="106" spans="1:1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6">
        <v>582.04</v>
      </c>
      <c r="O106" s="7" t="str">
        <f t="shared" si="1"/>
        <v>Normal</v>
      </c>
    </row>
    <row r="107" spans="1:1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s="3" t="s">
        <v>4283</v>
      </c>
      <c r="M107" t="s">
        <v>4281</v>
      </c>
      <c r="N107" s="6">
        <v>556.20000000000005</v>
      </c>
      <c r="O107" s="7" t="str">
        <f t="shared" si="1"/>
        <v>Normal</v>
      </c>
    </row>
    <row r="108" spans="1:1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6">
        <v>1395.15</v>
      </c>
      <c r="O108" s="7" t="str">
        <f t="shared" si="1"/>
        <v>Normal</v>
      </c>
    </row>
    <row r="109" spans="1:1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6">
        <v>3353.75</v>
      </c>
      <c r="O109" s="7" t="str">
        <f t="shared" si="1"/>
        <v>Outlier</v>
      </c>
    </row>
    <row r="110" spans="1:1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6">
        <v>241.9</v>
      </c>
      <c r="O110" s="7" t="str">
        <f t="shared" si="1"/>
        <v>Normal</v>
      </c>
    </row>
    <row r="111" spans="1:1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6">
        <v>1778.61</v>
      </c>
      <c r="O111" s="7" t="str">
        <f t="shared" si="1"/>
        <v>Normal</v>
      </c>
    </row>
    <row r="112" spans="1:1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6">
        <v>220.77</v>
      </c>
      <c r="O112" s="7" t="str">
        <f t="shared" si="1"/>
        <v>Normal</v>
      </c>
    </row>
    <row r="113" spans="1:1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6">
        <v>927.66000000000008</v>
      </c>
      <c r="O113" s="7" t="str">
        <f t="shared" si="1"/>
        <v>Normal</v>
      </c>
    </row>
    <row r="114" spans="1:1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6">
        <v>410.6</v>
      </c>
      <c r="O114" s="7" t="str">
        <f t="shared" si="1"/>
        <v>Normal</v>
      </c>
    </row>
    <row r="115" spans="1:1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6">
        <v>950.40000000000009</v>
      </c>
      <c r="O115" s="7" t="str">
        <f t="shared" si="1"/>
        <v>Normal</v>
      </c>
    </row>
    <row r="116" spans="1:1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6">
        <v>2492.4</v>
      </c>
      <c r="O116" s="7" t="str">
        <f t="shared" si="1"/>
        <v>Normal</v>
      </c>
    </row>
    <row r="117" spans="1:1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6">
        <v>1874.95</v>
      </c>
      <c r="O117" s="7" t="str">
        <f t="shared" si="1"/>
        <v>Normal</v>
      </c>
    </row>
    <row r="118" spans="1:1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6">
        <v>1165.4000000000001</v>
      </c>
      <c r="O118" s="7" t="str">
        <f t="shared" si="1"/>
        <v>Normal</v>
      </c>
    </row>
    <row r="119" spans="1:1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6">
        <v>535.5</v>
      </c>
      <c r="O119" s="7" t="str">
        <f t="shared" si="1"/>
        <v>Normal</v>
      </c>
    </row>
    <row r="120" spans="1:1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6">
        <v>2513.5500000000002</v>
      </c>
      <c r="O120" s="7" t="str">
        <f t="shared" si="1"/>
        <v>Normal</v>
      </c>
    </row>
    <row r="121" spans="1:1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6">
        <v>1069.3399999999999</v>
      </c>
      <c r="O121" s="7" t="str">
        <f t="shared" si="1"/>
        <v>Normal</v>
      </c>
    </row>
    <row r="122" spans="1:1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6">
        <v>2517.36</v>
      </c>
      <c r="O122" s="7" t="str">
        <f t="shared" si="1"/>
        <v>Normal</v>
      </c>
    </row>
    <row r="123" spans="1:1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6">
        <v>410.78</v>
      </c>
      <c r="O123" s="7" t="str">
        <f t="shared" si="1"/>
        <v>Normal</v>
      </c>
    </row>
    <row r="124" spans="1:1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s="3" t="s">
        <v>4283</v>
      </c>
      <c r="M124" t="s">
        <v>4281</v>
      </c>
      <c r="N124" s="6">
        <v>1066.04</v>
      </c>
      <c r="O124" s="7" t="str">
        <f t="shared" si="1"/>
        <v>Normal</v>
      </c>
    </row>
    <row r="125" spans="1:1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s="3" t="s">
        <v>4283</v>
      </c>
      <c r="M125" t="s">
        <v>4278</v>
      </c>
      <c r="N125" s="6">
        <v>834.12000000000012</v>
      </c>
      <c r="O125" s="7" t="str">
        <f t="shared" si="1"/>
        <v>Normal</v>
      </c>
    </row>
    <row r="126" spans="1:1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s="3" t="s">
        <v>4283</v>
      </c>
      <c r="M126" t="s">
        <v>4282</v>
      </c>
      <c r="N126" s="6">
        <v>1135.1600000000001</v>
      </c>
      <c r="O126" s="7" t="str">
        <f t="shared" si="1"/>
        <v>Normal</v>
      </c>
    </row>
    <row r="127" spans="1:1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6">
        <v>1025.3</v>
      </c>
      <c r="O127" s="7" t="str">
        <f t="shared" si="1"/>
        <v>Normal</v>
      </c>
    </row>
    <row r="128" spans="1:1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6">
        <v>1102</v>
      </c>
      <c r="O128" s="7" t="str">
        <f t="shared" si="1"/>
        <v>Normal</v>
      </c>
    </row>
    <row r="129" spans="1:1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s="3" t="s">
        <v>4283</v>
      </c>
      <c r="M129" t="s">
        <v>4282</v>
      </c>
      <c r="N129" s="6">
        <v>1407.96</v>
      </c>
      <c r="O129" s="7" t="str">
        <f t="shared" si="1"/>
        <v>Normal</v>
      </c>
    </row>
    <row r="130" spans="1:1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6">
        <v>84.28</v>
      </c>
      <c r="O130" s="7" t="str">
        <f t="shared" si="1"/>
        <v>Normal</v>
      </c>
    </row>
    <row r="131" spans="1:1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6">
        <v>1055.72</v>
      </c>
      <c r="O131" s="7" t="str">
        <f t="shared" ref="O131:O194" si="2">IF(OR(N131&lt;-1341.41,N131&gt;3330.41),"Outlier","Normal")</f>
        <v>Normal</v>
      </c>
    </row>
    <row r="132" spans="1:1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6">
        <v>1503.9</v>
      </c>
      <c r="O132" s="7" t="str">
        <f t="shared" si="2"/>
        <v>Normal</v>
      </c>
    </row>
    <row r="133" spans="1:1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s="3" t="s">
        <v>4283</v>
      </c>
      <c r="M133" t="s">
        <v>4278</v>
      </c>
      <c r="N133" s="6">
        <v>84.8</v>
      </c>
      <c r="O133" s="7" t="str">
        <f t="shared" si="2"/>
        <v>Normal</v>
      </c>
    </row>
    <row r="134" spans="1:1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6">
        <v>1803</v>
      </c>
      <c r="O134" s="7" t="str">
        <f t="shared" si="2"/>
        <v>Normal</v>
      </c>
    </row>
    <row r="135" spans="1:1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6">
        <v>1208.2</v>
      </c>
      <c r="O135" s="7" t="str">
        <f t="shared" si="2"/>
        <v>Normal</v>
      </c>
    </row>
    <row r="136" spans="1:1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s="3" t="s">
        <v>4283</v>
      </c>
      <c r="M136" t="s">
        <v>4280</v>
      </c>
      <c r="N136" s="6">
        <v>399.4</v>
      </c>
      <c r="O136" s="7" t="str">
        <f t="shared" si="2"/>
        <v>Normal</v>
      </c>
    </row>
    <row r="137" spans="1:1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6">
        <v>137.62</v>
      </c>
      <c r="O137" s="7" t="str">
        <f t="shared" si="2"/>
        <v>Normal</v>
      </c>
    </row>
    <row r="138" spans="1:1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6">
        <v>44.35</v>
      </c>
      <c r="O138" s="7" t="str">
        <f t="shared" si="2"/>
        <v>Normal</v>
      </c>
    </row>
    <row r="139" spans="1:1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s="3" t="s">
        <v>4283</v>
      </c>
      <c r="M139" t="s">
        <v>4282</v>
      </c>
      <c r="N139" s="6">
        <v>501.96</v>
      </c>
      <c r="O139" s="7" t="str">
        <f t="shared" si="2"/>
        <v>Normal</v>
      </c>
    </row>
    <row r="140" spans="1:1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6">
        <v>298.06</v>
      </c>
      <c r="O140" s="7" t="str">
        <f t="shared" si="2"/>
        <v>Normal</v>
      </c>
    </row>
    <row r="141" spans="1:1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s="3" t="s">
        <v>4283</v>
      </c>
      <c r="M141" t="s">
        <v>4280</v>
      </c>
      <c r="N141" s="6">
        <v>583.9</v>
      </c>
      <c r="O141" s="7" t="str">
        <f t="shared" si="2"/>
        <v>Normal</v>
      </c>
    </row>
    <row r="142" spans="1:1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6">
        <v>1584.42</v>
      </c>
      <c r="O142" s="7" t="str">
        <f t="shared" si="2"/>
        <v>Normal</v>
      </c>
    </row>
    <row r="143" spans="1:1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6">
        <v>2052.42</v>
      </c>
      <c r="O143" s="7" t="str">
        <f t="shared" si="2"/>
        <v>Normal</v>
      </c>
    </row>
    <row r="144" spans="1:1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6">
        <v>1363.85</v>
      </c>
      <c r="O144" s="7" t="str">
        <f t="shared" si="2"/>
        <v>Normal</v>
      </c>
    </row>
    <row r="145" spans="1:1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s="3" t="s">
        <v>4283</v>
      </c>
      <c r="M145" t="s">
        <v>4279</v>
      </c>
      <c r="N145" s="6">
        <v>1600.28</v>
      </c>
      <c r="O145" s="7" t="str">
        <f t="shared" si="2"/>
        <v>Normal</v>
      </c>
    </row>
    <row r="146" spans="1:1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s="3" t="s">
        <v>4283</v>
      </c>
      <c r="M146" t="s">
        <v>4281</v>
      </c>
      <c r="N146" s="6">
        <v>1098.9000000000001</v>
      </c>
      <c r="O146" s="7" t="str">
        <f t="shared" si="2"/>
        <v>Normal</v>
      </c>
    </row>
    <row r="147" spans="1:1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6">
        <v>440.73</v>
      </c>
      <c r="O147" s="7" t="str">
        <f t="shared" si="2"/>
        <v>Normal</v>
      </c>
    </row>
    <row r="148" spans="1:1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s="3" t="s">
        <v>4283</v>
      </c>
      <c r="M148" t="s">
        <v>4278</v>
      </c>
      <c r="N148" s="6">
        <v>822.98</v>
      </c>
      <c r="O148" s="7" t="str">
        <f t="shared" si="2"/>
        <v>Normal</v>
      </c>
    </row>
    <row r="149" spans="1:1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6">
        <v>930.36</v>
      </c>
      <c r="O149" s="7" t="str">
        <f t="shared" si="2"/>
        <v>Normal</v>
      </c>
    </row>
    <row r="150" spans="1:1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6">
        <v>639.82000000000005</v>
      </c>
      <c r="O150" s="7" t="str">
        <f t="shared" si="2"/>
        <v>Normal</v>
      </c>
    </row>
    <row r="151" spans="1:1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s="3" t="s">
        <v>4283</v>
      </c>
      <c r="M151" t="s">
        <v>4281</v>
      </c>
      <c r="N151" s="6">
        <v>217.56</v>
      </c>
      <c r="O151" s="7" t="str">
        <f t="shared" si="2"/>
        <v>Normal</v>
      </c>
    </row>
    <row r="152" spans="1:1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6">
        <v>211.14</v>
      </c>
      <c r="O152" s="7" t="str">
        <f t="shared" si="2"/>
        <v>Normal</v>
      </c>
    </row>
    <row r="153" spans="1:1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s="3" t="s">
        <v>4283</v>
      </c>
      <c r="M153" t="s">
        <v>4280</v>
      </c>
      <c r="N153" s="6">
        <v>2223.8000000000002</v>
      </c>
      <c r="O153" s="7" t="str">
        <f t="shared" si="2"/>
        <v>Normal</v>
      </c>
    </row>
    <row r="154" spans="1:1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6">
        <v>798.08</v>
      </c>
      <c r="O154" s="7" t="str">
        <f t="shared" si="2"/>
        <v>Normal</v>
      </c>
    </row>
    <row r="155" spans="1:1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6">
        <v>2137.92</v>
      </c>
      <c r="O155" s="7" t="str">
        <f t="shared" si="2"/>
        <v>Normal</v>
      </c>
    </row>
    <row r="156" spans="1:1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s="3" t="s">
        <v>4283</v>
      </c>
      <c r="M156" t="s">
        <v>4278</v>
      </c>
      <c r="N156" s="6">
        <v>1632.84</v>
      </c>
      <c r="O156" s="7" t="str">
        <f t="shared" si="2"/>
        <v>Normal</v>
      </c>
    </row>
    <row r="157" spans="1:1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6">
        <v>424.4</v>
      </c>
      <c r="O157" s="7" t="str">
        <f t="shared" si="2"/>
        <v>Normal</v>
      </c>
    </row>
    <row r="158" spans="1:1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6">
        <v>539.66</v>
      </c>
      <c r="O158" s="7" t="str">
        <f t="shared" si="2"/>
        <v>Normal</v>
      </c>
    </row>
    <row r="159" spans="1:1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6">
        <v>1129.1600000000001</v>
      </c>
      <c r="O159" s="7" t="str">
        <f t="shared" si="2"/>
        <v>Normal</v>
      </c>
    </row>
    <row r="160" spans="1:1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6">
        <v>331.06</v>
      </c>
      <c r="O160" s="7" t="str">
        <f t="shared" si="2"/>
        <v>Normal</v>
      </c>
    </row>
    <row r="161" spans="1:1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6">
        <v>299.35000000000002</v>
      </c>
      <c r="O161" s="7" t="str">
        <f t="shared" si="2"/>
        <v>Normal</v>
      </c>
    </row>
    <row r="162" spans="1:1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s="3" t="s">
        <v>4283</v>
      </c>
      <c r="M162" t="s">
        <v>4279</v>
      </c>
      <c r="N162" s="6">
        <v>405.28</v>
      </c>
      <c r="O162" s="7" t="str">
        <f t="shared" si="2"/>
        <v>Normal</v>
      </c>
    </row>
    <row r="163" spans="1:1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6">
        <v>211.14</v>
      </c>
      <c r="O163" s="7" t="str">
        <f t="shared" si="2"/>
        <v>Normal</v>
      </c>
    </row>
    <row r="164" spans="1:1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6">
        <v>197.58</v>
      </c>
      <c r="O164" s="7" t="str">
        <f t="shared" si="2"/>
        <v>Normal</v>
      </c>
    </row>
    <row r="165" spans="1:1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s="3" t="s">
        <v>4283</v>
      </c>
      <c r="M165" t="s">
        <v>4279</v>
      </c>
      <c r="N165" s="6">
        <v>641.39</v>
      </c>
      <c r="O165" s="7" t="str">
        <f t="shared" si="2"/>
        <v>Normal</v>
      </c>
    </row>
    <row r="166" spans="1:1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6">
        <v>2682.9</v>
      </c>
      <c r="O166" s="7" t="str">
        <f t="shared" si="2"/>
        <v>Normal</v>
      </c>
    </row>
    <row r="167" spans="1:1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6">
        <v>1000.58</v>
      </c>
      <c r="O167" s="7" t="str">
        <f t="shared" si="2"/>
        <v>Normal</v>
      </c>
    </row>
    <row r="168" spans="1:1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6">
        <v>258.87</v>
      </c>
      <c r="O168" s="7" t="str">
        <f t="shared" si="2"/>
        <v>Normal</v>
      </c>
    </row>
    <row r="169" spans="1:1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6">
        <v>768.28</v>
      </c>
      <c r="O169" s="7" t="str">
        <f t="shared" si="2"/>
        <v>Normal</v>
      </c>
    </row>
    <row r="170" spans="1:1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s="3" t="s">
        <v>4283</v>
      </c>
      <c r="M170" t="s">
        <v>4281</v>
      </c>
      <c r="N170" s="6">
        <v>594.96</v>
      </c>
      <c r="O170" s="7" t="str">
        <f t="shared" si="2"/>
        <v>Normal</v>
      </c>
    </row>
    <row r="171" spans="1:1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6">
        <v>427.82</v>
      </c>
      <c r="O171" s="7" t="str">
        <f t="shared" si="2"/>
        <v>Normal</v>
      </c>
    </row>
    <row r="172" spans="1:1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6">
        <v>2651.76</v>
      </c>
      <c r="O172" s="7" t="str">
        <f t="shared" si="2"/>
        <v>Normal</v>
      </c>
    </row>
    <row r="173" spans="1:1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6">
        <v>296.44</v>
      </c>
      <c r="O173" s="7" t="str">
        <f t="shared" si="2"/>
        <v>Normal</v>
      </c>
    </row>
    <row r="174" spans="1:1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6">
        <v>254.12</v>
      </c>
      <c r="O174" s="7" t="str">
        <f t="shared" si="2"/>
        <v>Normal</v>
      </c>
    </row>
    <row r="175" spans="1:1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6">
        <v>1993.38</v>
      </c>
      <c r="O175" s="7" t="str">
        <f t="shared" si="2"/>
        <v>Normal</v>
      </c>
    </row>
    <row r="176" spans="1:1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6">
        <v>2403.2399999999998</v>
      </c>
      <c r="O176" s="7" t="str">
        <f t="shared" si="2"/>
        <v>Normal</v>
      </c>
    </row>
    <row r="177" spans="1:1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6">
        <v>341.7</v>
      </c>
      <c r="O177" s="7" t="str">
        <f t="shared" si="2"/>
        <v>Normal</v>
      </c>
    </row>
    <row r="178" spans="1:1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6">
        <v>1723.32</v>
      </c>
      <c r="O178" s="7" t="str">
        <f t="shared" si="2"/>
        <v>Normal</v>
      </c>
    </row>
    <row r="179" spans="1:1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s="3" t="s">
        <v>4283</v>
      </c>
      <c r="M179" t="s">
        <v>4281</v>
      </c>
      <c r="N179" s="6">
        <v>2158.4499999999998</v>
      </c>
      <c r="O179" s="7" t="str">
        <f t="shared" si="2"/>
        <v>Normal</v>
      </c>
    </row>
    <row r="180" spans="1:1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6">
        <v>2048.2399999999998</v>
      </c>
      <c r="O180" s="7" t="str">
        <f t="shared" si="2"/>
        <v>Normal</v>
      </c>
    </row>
    <row r="181" spans="1:1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s="3" t="s">
        <v>4283</v>
      </c>
      <c r="M181" t="s">
        <v>4280</v>
      </c>
      <c r="N181" s="6">
        <v>1619.73</v>
      </c>
      <c r="O181" s="7" t="str">
        <f t="shared" si="2"/>
        <v>Normal</v>
      </c>
    </row>
    <row r="182" spans="1:1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s="3" t="s">
        <v>4283</v>
      </c>
      <c r="M182" t="s">
        <v>4282</v>
      </c>
      <c r="N182" s="6">
        <v>1580.35</v>
      </c>
      <c r="O182" s="7" t="str">
        <f t="shared" si="2"/>
        <v>Normal</v>
      </c>
    </row>
    <row r="183" spans="1:1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s="3" t="s">
        <v>4283</v>
      </c>
      <c r="M183" t="s">
        <v>4279</v>
      </c>
      <c r="N183" s="6">
        <v>2021.95</v>
      </c>
      <c r="O183" s="7" t="str">
        <f t="shared" si="2"/>
        <v>Normal</v>
      </c>
    </row>
    <row r="184" spans="1:1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6">
        <v>600.54</v>
      </c>
      <c r="O184" s="7" t="str">
        <f t="shared" si="2"/>
        <v>Normal</v>
      </c>
    </row>
    <row r="185" spans="1:1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6">
        <v>931.4</v>
      </c>
      <c r="O185" s="7" t="str">
        <f t="shared" si="2"/>
        <v>Normal</v>
      </c>
    </row>
    <row r="186" spans="1:1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s="3" t="s">
        <v>4283</v>
      </c>
      <c r="M186" t="s">
        <v>4279</v>
      </c>
      <c r="N186" s="6">
        <v>858.16</v>
      </c>
      <c r="O186" s="7" t="str">
        <f t="shared" si="2"/>
        <v>Normal</v>
      </c>
    </row>
    <row r="187" spans="1:1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6">
        <v>210.7</v>
      </c>
      <c r="O187" s="7" t="str">
        <f t="shared" si="2"/>
        <v>Normal</v>
      </c>
    </row>
    <row r="188" spans="1:1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6">
        <v>267.10000000000002</v>
      </c>
      <c r="O188" s="7" t="str">
        <f t="shared" si="2"/>
        <v>Normal</v>
      </c>
    </row>
    <row r="189" spans="1:1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6">
        <v>590.87</v>
      </c>
      <c r="O189" s="7" t="str">
        <f t="shared" si="2"/>
        <v>Normal</v>
      </c>
    </row>
    <row r="190" spans="1:1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6">
        <v>727.82</v>
      </c>
      <c r="O190" s="7" t="str">
        <f t="shared" si="2"/>
        <v>Normal</v>
      </c>
    </row>
    <row r="191" spans="1:1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6">
        <v>2147.25</v>
      </c>
      <c r="O191" s="7" t="str">
        <f t="shared" si="2"/>
        <v>Normal</v>
      </c>
    </row>
    <row r="192" spans="1:1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6">
        <v>671.09999999999991</v>
      </c>
      <c r="O192" s="7" t="str">
        <f t="shared" si="2"/>
        <v>Normal</v>
      </c>
    </row>
    <row r="193" spans="1:1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6">
        <v>977.74</v>
      </c>
      <c r="O193" s="7" t="str">
        <f t="shared" si="2"/>
        <v>Normal</v>
      </c>
    </row>
    <row r="194" spans="1:1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6">
        <v>645.46</v>
      </c>
      <c r="O194" s="7" t="str">
        <f t="shared" si="2"/>
        <v>Normal</v>
      </c>
    </row>
    <row r="195" spans="1:1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s="3" t="s">
        <v>4283</v>
      </c>
      <c r="M195" t="s">
        <v>4282</v>
      </c>
      <c r="N195" s="6">
        <v>46.66</v>
      </c>
      <c r="O195" s="7" t="str">
        <f t="shared" ref="O195:O258" si="3">IF(OR(N195&lt;-1341.41,N195&gt;3330.41),"Outlier","Normal")</f>
        <v>Normal</v>
      </c>
    </row>
    <row r="196" spans="1:1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6">
        <v>249.57</v>
      </c>
      <c r="O196" s="7" t="str">
        <f t="shared" si="3"/>
        <v>Normal</v>
      </c>
    </row>
    <row r="197" spans="1:1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s="3" t="s">
        <v>4283</v>
      </c>
      <c r="M197" t="s">
        <v>4280</v>
      </c>
      <c r="N197" s="6">
        <v>1857.63</v>
      </c>
      <c r="O197" s="7" t="str">
        <f t="shared" si="3"/>
        <v>Normal</v>
      </c>
    </row>
    <row r="198" spans="1:1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6">
        <v>868.52</v>
      </c>
      <c r="O198" s="7" t="str">
        <f t="shared" si="3"/>
        <v>Normal</v>
      </c>
    </row>
    <row r="199" spans="1:1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6">
        <v>1107.55</v>
      </c>
      <c r="O199" s="7" t="str">
        <f t="shared" si="3"/>
        <v>Normal</v>
      </c>
    </row>
    <row r="200" spans="1:1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6">
        <v>1361.2</v>
      </c>
      <c r="O200" s="7" t="str">
        <f t="shared" si="3"/>
        <v>Normal</v>
      </c>
    </row>
    <row r="201" spans="1:1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6">
        <v>625</v>
      </c>
      <c r="O201" s="7" t="str">
        <f t="shared" si="3"/>
        <v>Normal</v>
      </c>
    </row>
    <row r="202" spans="1:1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6">
        <v>2166.3000000000002</v>
      </c>
      <c r="O202" s="7" t="str">
        <f t="shared" si="3"/>
        <v>Normal</v>
      </c>
    </row>
    <row r="203" spans="1:1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6">
        <v>1349.8</v>
      </c>
      <c r="O203" s="7" t="str">
        <f t="shared" si="3"/>
        <v>Normal</v>
      </c>
    </row>
    <row r="204" spans="1:1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6">
        <v>761.93999999999994</v>
      </c>
      <c r="O204" s="7" t="str">
        <f t="shared" si="3"/>
        <v>Normal</v>
      </c>
    </row>
    <row r="205" spans="1:1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6">
        <v>1070.52</v>
      </c>
      <c r="O205" s="7" t="str">
        <f t="shared" si="3"/>
        <v>Normal</v>
      </c>
    </row>
    <row r="206" spans="1:1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6">
        <v>1654.84</v>
      </c>
      <c r="O206" s="7" t="str">
        <f t="shared" si="3"/>
        <v>Normal</v>
      </c>
    </row>
    <row r="207" spans="1:1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s="3" t="s">
        <v>4283</v>
      </c>
      <c r="M207" t="s">
        <v>4280</v>
      </c>
      <c r="N207" s="6">
        <v>442.17</v>
      </c>
      <c r="O207" s="7" t="str">
        <f t="shared" si="3"/>
        <v>Normal</v>
      </c>
    </row>
    <row r="208" spans="1:1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6">
        <v>916.4</v>
      </c>
      <c r="O208" s="7" t="str">
        <f t="shared" si="3"/>
        <v>Normal</v>
      </c>
    </row>
    <row r="209" spans="1:1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s="3" t="s">
        <v>4283</v>
      </c>
      <c r="M209" t="s">
        <v>4282</v>
      </c>
      <c r="N209" s="6">
        <v>121.96</v>
      </c>
      <c r="O209" s="7" t="str">
        <f t="shared" si="3"/>
        <v>Normal</v>
      </c>
    </row>
    <row r="210" spans="1:1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6">
        <v>816.64</v>
      </c>
      <c r="O210" s="7" t="str">
        <f t="shared" si="3"/>
        <v>Normal</v>
      </c>
    </row>
    <row r="211" spans="1:1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6">
        <v>939.85</v>
      </c>
      <c r="O211" s="7" t="str">
        <f t="shared" si="3"/>
        <v>Normal</v>
      </c>
    </row>
    <row r="212" spans="1:1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6">
        <v>1075.44</v>
      </c>
      <c r="O212" s="7" t="str">
        <f t="shared" si="3"/>
        <v>Normal</v>
      </c>
    </row>
    <row r="213" spans="1:1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6">
        <v>580.74</v>
      </c>
      <c r="O213" s="7" t="str">
        <f t="shared" si="3"/>
        <v>Normal</v>
      </c>
    </row>
    <row r="214" spans="1:1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6">
        <v>265.38</v>
      </c>
      <c r="O214" s="7" t="str">
        <f t="shared" si="3"/>
        <v>Normal</v>
      </c>
    </row>
    <row r="215" spans="1:1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6">
        <v>634.4</v>
      </c>
      <c r="O215" s="7" t="str">
        <f t="shared" si="3"/>
        <v>Normal</v>
      </c>
    </row>
    <row r="216" spans="1:1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s="3" t="s">
        <v>4283</v>
      </c>
      <c r="M216" t="s">
        <v>4281</v>
      </c>
      <c r="N216" s="6">
        <v>1222.8800000000001</v>
      </c>
      <c r="O216" s="7" t="str">
        <f t="shared" si="3"/>
        <v>Normal</v>
      </c>
    </row>
    <row r="217" spans="1:1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6">
        <v>303.60000000000002</v>
      </c>
      <c r="O217" s="7" t="str">
        <f t="shared" si="3"/>
        <v>Normal</v>
      </c>
    </row>
    <row r="218" spans="1:1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6">
        <v>1984</v>
      </c>
      <c r="O218" s="7" t="str">
        <f t="shared" si="3"/>
        <v>Normal</v>
      </c>
    </row>
    <row r="219" spans="1:1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s="3" t="s">
        <v>4283</v>
      </c>
      <c r="M219" t="s">
        <v>4282</v>
      </c>
      <c r="N219" s="6">
        <v>1286.04</v>
      </c>
      <c r="O219" s="7" t="str">
        <f t="shared" si="3"/>
        <v>Normal</v>
      </c>
    </row>
    <row r="220" spans="1:1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6">
        <v>337.38</v>
      </c>
      <c r="O220" s="7" t="str">
        <f t="shared" si="3"/>
        <v>Normal</v>
      </c>
    </row>
    <row r="221" spans="1:1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6">
        <v>309.85000000000002</v>
      </c>
      <c r="O221" s="7" t="str">
        <f t="shared" si="3"/>
        <v>Normal</v>
      </c>
    </row>
    <row r="222" spans="1:1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6">
        <v>746.34</v>
      </c>
      <c r="O222" s="7" t="str">
        <f t="shared" si="3"/>
        <v>Normal</v>
      </c>
    </row>
    <row r="223" spans="1:1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6">
        <v>3196.85</v>
      </c>
      <c r="O223" s="7" t="str">
        <f t="shared" si="3"/>
        <v>Normal</v>
      </c>
    </row>
    <row r="224" spans="1:1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s="3" t="s">
        <v>4283</v>
      </c>
      <c r="M224" t="s">
        <v>4278</v>
      </c>
      <c r="N224" s="6">
        <v>2773.44</v>
      </c>
      <c r="O224" s="7" t="str">
        <f t="shared" si="3"/>
        <v>Normal</v>
      </c>
    </row>
    <row r="225" spans="1:1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6">
        <v>2771.64</v>
      </c>
      <c r="O225" s="7" t="str">
        <f t="shared" si="3"/>
        <v>Normal</v>
      </c>
    </row>
    <row r="226" spans="1:1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6">
        <v>365.84</v>
      </c>
      <c r="O226" s="7" t="str">
        <f t="shared" si="3"/>
        <v>Normal</v>
      </c>
    </row>
    <row r="227" spans="1:1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6">
        <v>821.87999999999988</v>
      </c>
      <c r="O227" s="7" t="str">
        <f t="shared" si="3"/>
        <v>Normal</v>
      </c>
    </row>
    <row r="228" spans="1:1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s="3" t="s">
        <v>4283</v>
      </c>
      <c r="M228" t="s">
        <v>4278</v>
      </c>
      <c r="N228" s="6">
        <v>1764.15</v>
      </c>
      <c r="O228" s="7" t="str">
        <f t="shared" si="3"/>
        <v>Normal</v>
      </c>
    </row>
    <row r="229" spans="1:1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6">
        <v>730.34</v>
      </c>
      <c r="O229" s="7" t="str">
        <f t="shared" si="3"/>
        <v>Normal</v>
      </c>
    </row>
    <row r="230" spans="1:1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s="3" t="s">
        <v>4283</v>
      </c>
      <c r="M230" t="s">
        <v>4278</v>
      </c>
      <c r="N230" s="6">
        <v>1543.68</v>
      </c>
      <c r="O230" s="7" t="str">
        <f t="shared" si="3"/>
        <v>Normal</v>
      </c>
    </row>
    <row r="231" spans="1:1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6">
        <v>562.61</v>
      </c>
      <c r="O231" s="7" t="str">
        <f t="shared" si="3"/>
        <v>Normal</v>
      </c>
    </row>
    <row r="232" spans="1:1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6">
        <v>247.64</v>
      </c>
      <c r="O232" s="7" t="str">
        <f t="shared" si="3"/>
        <v>Normal</v>
      </c>
    </row>
    <row r="233" spans="1:1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6">
        <v>167.6</v>
      </c>
      <c r="O233" s="7" t="str">
        <f t="shared" si="3"/>
        <v>Normal</v>
      </c>
    </row>
    <row r="234" spans="1:1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6">
        <v>1777.76</v>
      </c>
      <c r="O234" s="7" t="str">
        <f t="shared" si="3"/>
        <v>Normal</v>
      </c>
    </row>
    <row r="235" spans="1:1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6">
        <v>933.99</v>
      </c>
      <c r="O235" s="7" t="str">
        <f t="shared" si="3"/>
        <v>Normal</v>
      </c>
    </row>
    <row r="236" spans="1:1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6">
        <v>945.64</v>
      </c>
      <c r="O236" s="7" t="str">
        <f t="shared" si="3"/>
        <v>Normal</v>
      </c>
    </row>
    <row r="237" spans="1:1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6">
        <v>65.45</v>
      </c>
      <c r="O237" s="7" t="str">
        <f t="shared" si="3"/>
        <v>Normal</v>
      </c>
    </row>
    <row r="238" spans="1:1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6">
        <v>318.81</v>
      </c>
      <c r="O238" s="7" t="str">
        <f t="shared" si="3"/>
        <v>Normal</v>
      </c>
    </row>
    <row r="239" spans="1:1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6">
        <v>1751.16</v>
      </c>
      <c r="O239" s="7" t="str">
        <f t="shared" si="3"/>
        <v>Normal</v>
      </c>
    </row>
    <row r="240" spans="1:1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6">
        <v>1537.28</v>
      </c>
      <c r="O240" s="7" t="str">
        <f t="shared" si="3"/>
        <v>Normal</v>
      </c>
    </row>
    <row r="241" spans="1:1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6">
        <v>1616.22</v>
      </c>
      <c r="O241" s="7" t="str">
        <f t="shared" si="3"/>
        <v>Normal</v>
      </c>
    </row>
    <row r="242" spans="1:1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6">
        <v>17.239999999999998</v>
      </c>
      <c r="O242" s="7" t="str">
        <f t="shared" si="3"/>
        <v>Normal</v>
      </c>
    </row>
    <row r="243" spans="1:1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6">
        <v>3078.35</v>
      </c>
      <c r="O243" s="7" t="str">
        <f t="shared" si="3"/>
        <v>Normal</v>
      </c>
    </row>
    <row r="244" spans="1:1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6">
        <v>438.2</v>
      </c>
      <c r="O244" s="7" t="str">
        <f t="shared" si="3"/>
        <v>Normal</v>
      </c>
    </row>
    <row r="245" spans="1:1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6">
        <v>289.32</v>
      </c>
      <c r="O245" s="7" t="str">
        <f t="shared" si="3"/>
        <v>Normal</v>
      </c>
    </row>
    <row r="246" spans="1:1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6">
        <v>635.54</v>
      </c>
      <c r="O246" s="7" t="str">
        <f t="shared" si="3"/>
        <v>Normal</v>
      </c>
    </row>
    <row r="247" spans="1:1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s="3" t="s">
        <v>4283</v>
      </c>
      <c r="M247" t="s">
        <v>4281</v>
      </c>
      <c r="N247" s="6">
        <v>223.3</v>
      </c>
      <c r="O247" s="7" t="str">
        <f t="shared" si="3"/>
        <v>Normal</v>
      </c>
    </row>
    <row r="248" spans="1:1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6">
        <v>684.22</v>
      </c>
      <c r="O248" s="7" t="str">
        <f t="shared" si="3"/>
        <v>Normal</v>
      </c>
    </row>
    <row r="249" spans="1:1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s="3" t="s">
        <v>4283</v>
      </c>
      <c r="M249" t="s">
        <v>4280</v>
      </c>
      <c r="N249" s="6">
        <v>441.8</v>
      </c>
      <c r="O249" s="7" t="str">
        <f t="shared" si="3"/>
        <v>Normal</v>
      </c>
    </row>
    <row r="250" spans="1:1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6">
        <v>670.54</v>
      </c>
      <c r="O250" s="7" t="str">
        <f t="shared" si="3"/>
        <v>Normal</v>
      </c>
    </row>
    <row r="251" spans="1:1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6">
        <v>546.19000000000005</v>
      </c>
      <c r="O251" s="7" t="str">
        <f t="shared" si="3"/>
        <v>Normal</v>
      </c>
    </row>
    <row r="252" spans="1:1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6">
        <v>128.85</v>
      </c>
      <c r="O252" s="7" t="str">
        <f t="shared" si="3"/>
        <v>Normal</v>
      </c>
    </row>
    <row r="253" spans="1:1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s="3" t="s">
        <v>4283</v>
      </c>
      <c r="M253" t="s">
        <v>4280</v>
      </c>
      <c r="N253" s="6">
        <v>58.76</v>
      </c>
      <c r="O253" s="7" t="str">
        <f t="shared" si="3"/>
        <v>Normal</v>
      </c>
    </row>
    <row r="254" spans="1:1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6">
        <v>2673.44</v>
      </c>
      <c r="O254" s="7" t="str">
        <f t="shared" si="3"/>
        <v>Normal</v>
      </c>
    </row>
    <row r="255" spans="1:1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6">
        <v>1654.96</v>
      </c>
      <c r="O255" s="7" t="str">
        <f t="shared" si="3"/>
        <v>Normal</v>
      </c>
    </row>
    <row r="256" spans="1:1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s="3" t="s">
        <v>4283</v>
      </c>
      <c r="M256" t="s">
        <v>4278</v>
      </c>
      <c r="N256" s="6">
        <v>789.56999999999994</v>
      </c>
      <c r="O256" s="7" t="str">
        <f t="shared" si="3"/>
        <v>Normal</v>
      </c>
    </row>
    <row r="257" spans="1:1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6">
        <v>263.95999999999998</v>
      </c>
      <c r="O257" s="7" t="str">
        <f t="shared" si="3"/>
        <v>Normal</v>
      </c>
    </row>
    <row r="258" spans="1:1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6">
        <v>379.05</v>
      </c>
      <c r="O258" s="7" t="str">
        <f t="shared" si="3"/>
        <v>Normal</v>
      </c>
    </row>
    <row r="259" spans="1:1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6">
        <v>406.22</v>
      </c>
      <c r="O259" s="7" t="str">
        <f t="shared" ref="O259:O322" si="4">IF(OR(N259&lt;-1341.41,N259&gt;3330.41),"Outlier","Normal")</f>
        <v>Normal</v>
      </c>
    </row>
    <row r="260" spans="1:1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6">
        <v>206.82</v>
      </c>
      <c r="O260" s="7" t="str">
        <f t="shared" si="4"/>
        <v>Normal</v>
      </c>
    </row>
    <row r="261" spans="1:1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6">
        <v>1740.48</v>
      </c>
      <c r="O261" s="7" t="str">
        <f t="shared" si="4"/>
        <v>Normal</v>
      </c>
    </row>
    <row r="262" spans="1:1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s="3" t="s">
        <v>4283</v>
      </c>
      <c r="M262" t="s">
        <v>4282</v>
      </c>
      <c r="N262" s="6">
        <v>815.58</v>
      </c>
      <c r="O262" s="7" t="str">
        <f t="shared" si="4"/>
        <v>Normal</v>
      </c>
    </row>
    <row r="263" spans="1:1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6">
        <v>868.25</v>
      </c>
      <c r="O263" s="7" t="str">
        <f t="shared" si="4"/>
        <v>Normal</v>
      </c>
    </row>
    <row r="264" spans="1:1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6">
        <v>996.28</v>
      </c>
      <c r="O264" s="7" t="str">
        <f t="shared" si="4"/>
        <v>Normal</v>
      </c>
    </row>
    <row r="265" spans="1:1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6">
        <v>1739.4</v>
      </c>
      <c r="O265" s="7" t="str">
        <f t="shared" si="4"/>
        <v>Normal</v>
      </c>
    </row>
    <row r="266" spans="1:1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6">
        <v>436.77</v>
      </c>
      <c r="O266" s="7" t="str">
        <f t="shared" si="4"/>
        <v>Normal</v>
      </c>
    </row>
    <row r="267" spans="1:1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6">
        <v>572.13</v>
      </c>
      <c r="O267" s="7" t="str">
        <f t="shared" si="4"/>
        <v>Normal</v>
      </c>
    </row>
    <row r="268" spans="1:1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6">
        <v>2332.2800000000002</v>
      </c>
      <c r="O268" s="7" t="str">
        <f t="shared" si="4"/>
        <v>Normal</v>
      </c>
    </row>
    <row r="269" spans="1:1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s="3" t="s">
        <v>4283</v>
      </c>
      <c r="M269" t="s">
        <v>4281</v>
      </c>
      <c r="N269" s="6">
        <v>2342.5500000000002</v>
      </c>
      <c r="O269" s="7" t="str">
        <f t="shared" si="4"/>
        <v>Normal</v>
      </c>
    </row>
    <row r="270" spans="1:1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6">
        <v>847.76</v>
      </c>
      <c r="O270" s="7" t="str">
        <f t="shared" si="4"/>
        <v>Normal</v>
      </c>
    </row>
    <row r="271" spans="1:1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6">
        <v>2654.68</v>
      </c>
      <c r="O271" s="7" t="str">
        <f t="shared" si="4"/>
        <v>Normal</v>
      </c>
    </row>
    <row r="272" spans="1:1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6">
        <v>1239.6400000000001</v>
      </c>
      <c r="O272" s="7" t="str">
        <f t="shared" si="4"/>
        <v>Normal</v>
      </c>
    </row>
    <row r="273" spans="1:1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6">
        <v>542.07000000000005</v>
      </c>
      <c r="O273" s="7" t="str">
        <f t="shared" si="4"/>
        <v>Normal</v>
      </c>
    </row>
    <row r="274" spans="1:1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6">
        <v>798.64</v>
      </c>
      <c r="O274" s="7" t="str">
        <f t="shared" si="4"/>
        <v>Normal</v>
      </c>
    </row>
    <row r="275" spans="1:1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6">
        <v>476.5</v>
      </c>
      <c r="O275" s="7" t="str">
        <f t="shared" si="4"/>
        <v>Normal</v>
      </c>
    </row>
    <row r="276" spans="1:1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6">
        <v>364.8</v>
      </c>
      <c r="O276" s="7" t="str">
        <f t="shared" si="4"/>
        <v>Normal</v>
      </c>
    </row>
    <row r="277" spans="1:1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6">
        <v>130.13999999999999</v>
      </c>
      <c r="O277" s="7" t="str">
        <f t="shared" si="4"/>
        <v>Normal</v>
      </c>
    </row>
    <row r="278" spans="1:1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6">
        <v>1201.1400000000001</v>
      </c>
      <c r="O278" s="7" t="str">
        <f t="shared" si="4"/>
        <v>Normal</v>
      </c>
    </row>
    <row r="279" spans="1:1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6">
        <v>454.6</v>
      </c>
      <c r="O279" s="7" t="str">
        <f t="shared" si="4"/>
        <v>Normal</v>
      </c>
    </row>
    <row r="280" spans="1:1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6">
        <v>1812.3</v>
      </c>
      <c r="O280" s="7" t="str">
        <f t="shared" si="4"/>
        <v>Normal</v>
      </c>
    </row>
    <row r="281" spans="1:1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6">
        <v>165.03</v>
      </c>
      <c r="O281" s="7" t="str">
        <f t="shared" si="4"/>
        <v>Normal</v>
      </c>
    </row>
    <row r="282" spans="1:1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6">
        <v>1213.8599999999999</v>
      </c>
      <c r="O282" s="7" t="str">
        <f t="shared" si="4"/>
        <v>Normal</v>
      </c>
    </row>
    <row r="283" spans="1:1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s="3" t="s">
        <v>4283</v>
      </c>
      <c r="M283" t="s">
        <v>4279</v>
      </c>
      <c r="N283" s="6">
        <v>2619.16</v>
      </c>
      <c r="O283" s="7" t="str">
        <f t="shared" si="4"/>
        <v>Normal</v>
      </c>
    </row>
    <row r="284" spans="1:1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6">
        <v>2551.16</v>
      </c>
      <c r="O284" s="7" t="str">
        <f t="shared" si="4"/>
        <v>Normal</v>
      </c>
    </row>
    <row r="285" spans="1:1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s="3" t="s">
        <v>4283</v>
      </c>
      <c r="M285" t="s">
        <v>4282</v>
      </c>
      <c r="N285" s="6">
        <v>2161.3200000000002</v>
      </c>
      <c r="O285" s="7" t="str">
        <f t="shared" si="4"/>
        <v>Normal</v>
      </c>
    </row>
    <row r="286" spans="1:1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6">
        <v>1040.8499999999999</v>
      </c>
      <c r="O286" s="7" t="str">
        <f t="shared" si="4"/>
        <v>Normal</v>
      </c>
    </row>
    <row r="287" spans="1:1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s="3" t="s">
        <v>4283</v>
      </c>
      <c r="M287" t="s">
        <v>4282</v>
      </c>
      <c r="N287" s="6">
        <v>338.31</v>
      </c>
      <c r="O287" s="7" t="str">
        <f t="shared" si="4"/>
        <v>Normal</v>
      </c>
    </row>
    <row r="288" spans="1:1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6">
        <v>418.35</v>
      </c>
      <c r="O288" s="7" t="str">
        <f t="shared" si="4"/>
        <v>Normal</v>
      </c>
    </row>
    <row r="289" spans="1:1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s="3" t="s">
        <v>4283</v>
      </c>
      <c r="M289" t="s">
        <v>4281</v>
      </c>
      <c r="N289" s="6">
        <v>2620.7199999999998</v>
      </c>
      <c r="O289" s="7" t="str">
        <f t="shared" si="4"/>
        <v>Normal</v>
      </c>
    </row>
    <row r="290" spans="1:1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6">
        <v>2051</v>
      </c>
      <c r="O290" s="7" t="str">
        <f t="shared" si="4"/>
        <v>Normal</v>
      </c>
    </row>
    <row r="291" spans="1:1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6">
        <v>641.96</v>
      </c>
      <c r="O291" s="7" t="str">
        <f t="shared" si="4"/>
        <v>Normal</v>
      </c>
    </row>
    <row r="292" spans="1:1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6">
        <v>299.7</v>
      </c>
      <c r="O292" s="7" t="str">
        <f t="shared" si="4"/>
        <v>Normal</v>
      </c>
    </row>
    <row r="293" spans="1:1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6">
        <v>690.02</v>
      </c>
      <c r="O293" s="7" t="str">
        <f t="shared" si="4"/>
        <v>Normal</v>
      </c>
    </row>
    <row r="294" spans="1:1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s="3" t="s">
        <v>4283</v>
      </c>
      <c r="M294" t="s">
        <v>4281</v>
      </c>
      <c r="N294" s="6">
        <v>65.95</v>
      </c>
      <c r="O294" s="7" t="str">
        <f t="shared" si="4"/>
        <v>Normal</v>
      </c>
    </row>
    <row r="295" spans="1:1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s="3" t="s">
        <v>4283</v>
      </c>
      <c r="M295" t="s">
        <v>4278</v>
      </c>
      <c r="N295" s="6">
        <v>1852.16</v>
      </c>
      <c r="O295" s="7" t="str">
        <f t="shared" si="4"/>
        <v>Normal</v>
      </c>
    </row>
    <row r="296" spans="1:1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6">
        <v>595.41999999999996</v>
      </c>
      <c r="O296" s="7" t="str">
        <f t="shared" si="4"/>
        <v>Normal</v>
      </c>
    </row>
    <row r="297" spans="1:1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6">
        <v>537.4</v>
      </c>
      <c r="O297" s="7" t="str">
        <f t="shared" si="4"/>
        <v>Normal</v>
      </c>
    </row>
    <row r="298" spans="1:1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6">
        <v>3194</v>
      </c>
      <c r="O298" s="7" t="str">
        <f t="shared" si="4"/>
        <v>Normal</v>
      </c>
    </row>
    <row r="299" spans="1:1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6">
        <v>987.76</v>
      </c>
      <c r="O299" s="7" t="str">
        <f t="shared" si="4"/>
        <v>Normal</v>
      </c>
    </row>
    <row r="300" spans="1:1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s="3" t="s">
        <v>4283</v>
      </c>
      <c r="M300" t="s">
        <v>4280</v>
      </c>
      <c r="N300" s="6">
        <v>1204.68</v>
      </c>
      <c r="O300" s="7" t="str">
        <f t="shared" si="4"/>
        <v>Normal</v>
      </c>
    </row>
    <row r="301" spans="1:1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6">
        <v>278.66000000000003</v>
      </c>
      <c r="O301" s="7" t="str">
        <f t="shared" si="4"/>
        <v>Normal</v>
      </c>
    </row>
    <row r="302" spans="1:1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6">
        <v>287.45999999999998</v>
      </c>
      <c r="O302" s="7" t="str">
        <f t="shared" si="4"/>
        <v>Normal</v>
      </c>
    </row>
    <row r="303" spans="1:1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6">
        <v>583.99</v>
      </c>
      <c r="O303" s="7" t="str">
        <f t="shared" si="4"/>
        <v>Normal</v>
      </c>
    </row>
    <row r="304" spans="1:1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6">
        <v>1406.22</v>
      </c>
      <c r="O304" s="7" t="str">
        <f t="shared" si="4"/>
        <v>Normal</v>
      </c>
    </row>
    <row r="305" spans="1:1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s="3" t="s">
        <v>4283</v>
      </c>
      <c r="M305" t="s">
        <v>4282</v>
      </c>
      <c r="N305" s="6">
        <v>30.54</v>
      </c>
      <c r="O305" s="7" t="str">
        <f t="shared" si="4"/>
        <v>Normal</v>
      </c>
    </row>
    <row r="306" spans="1:1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6">
        <v>2043.65</v>
      </c>
      <c r="O306" s="7" t="str">
        <f t="shared" si="4"/>
        <v>Normal</v>
      </c>
    </row>
    <row r="307" spans="1:1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6">
        <v>507.56</v>
      </c>
      <c r="O307" s="7" t="str">
        <f t="shared" si="4"/>
        <v>Normal</v>
      </c>
    </row>
    <row r="308" spans="1:1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6">
        <v>114.14</v>
      </c>
      <c r="O308" s="7" t="str">
        <f t="shared" si="4"/>
        <v>Normal</v>
      </c>
    </row>
    <row r="309" spans="1:1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s="3" t="s">
        <v>4283</v>
      </c>
      <c r="M309" t="s">
        <v>4280</v>
      </c>
      <c r="N309" s="6">
        <v>1672.23</v>
      </c>
      <c r="O309" s="7" t="str">
        <f t="shared" si="4"/>
        <v>Normal</v>
      </c>
    </row>
    <row r="310" spans="1:1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6">
        <v>1346.7</v>
      </c>
      <c r="O310" s="7" t="str">
        <f t="shared" si="4"/>
        <v>Normal</v>
      </c>
    </row>
    <row r="311" spans="1:1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6">
        <v>2199.04</v>
      </c>
      <c r="O311" s="7" t="str">
        <f t="shared" si="4"/>
        <v>Normal</v>
      </c>
    </row>
    <row r="312" spans="1:1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s="3" t="s">
        <v>4283</v>
      </c>
      <c r="M312" t="s">
        <v>4279</v>
      </c>
      <c r="N312" s="6">
        <v>397.43999999999988</v>
      </c>
      <c r="O312" s="7" t="str">
        <f t="shared" si="4"/>
        <v>Normal</v>
      </c>
    </row>
    <row r="313" spans="1:1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s="3" t="s">
        <v>4283</v>
      </c>
      <c r="M313" t="s">
        <v>4278</v>
      </c>
      <c r="N313" s="6">
        <v>2446.85</v>
      </c>
      <c r="O313" s="7" t="str">
        <f t="shared" si="4"/>
        <v>Normal</v>
      </c>
    </row>
    <row r="314" spans="1:1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6">
        <v>331.55</v>
      </c>
      <c r="O314" s="7" t="str">
        <f t="shared" si="4"/>
        <v>Normal</v>
      </c>
    </row>
    <row r="315" spans="1:1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6">
        <v>868.6</v>
      </c>
      <c r="O315" s="7" t="str">
        <f t="shared" si="4"/>
        <v>Normal</v>
      </c>
    </row>
    <row r="316" spans="1:1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6">
        <v>612.36</v>
      </c>
      <c r="O316" s="7" t="str">
        <f t="shared" si="4"/>
        <v>Normal</v>
      </c>
    </row>
    <row r="317" spans="1:1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6">
        <v>458.35</v>
      </c>
      <c r="O317" s="7" t="str">
        <f t="shared" si="4"/>
        <v>Normal</v>
      </c>
    </row>
    <row r="318" spans="1:1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6">
        <v>1101.1199999999999</v>
      </c>
      <c r="O318" s="7" t="str">
        <f t="shared" si="4"/>
        <v>Normal</v>
      </c>
    </row>
    <row r="319" spans="1:1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s="3" t="s">
        <v>4283</v>
      </c>
      <c r="M319" t="s">
        <v>4278</v>
      </c>
      <c r="N319" s="6">
        <v>279.89999999999998</v>
      </c>
      <c r="O319" s="7" t="str">
        <f t="shared" si="4"/>
        <v>Normal</v>
      </c>
    </row>
    <row r="320" spans="1:1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6">
        <v>446.16</v>
      </c>
      <c r="O320" s="7" t="str">
        <f t="shared" si="4"/>
        <v>Normal</v>
      </c>
    </row>
    <row r="321" spans="1:1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s="3" t="s">
        <v>4283</v>
      </c>
      <c r="M321" t="s">
        <v>4278</v>
      </c>
      <c r="N321" s="6">
        <v>1126.1199999999999</v>
      </c>
      <c r="O321" s="7" t="str">
        <f t="shared" si="4"/>
        <v>Normal</v>
      </c>
    </row>
    <row r="322" spans="1:1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6">
        <v>625.51</v>
      </c>
      <c r="O322" s="7" t="str">
        <f t="shared" si="4"/>
        <v>Normal</v>
      </c>
    </row>
    <row r="323" spans="1:1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6">
        <v>609.16</v>
      </c>
      <c r="O323" s="7" t="str">
        <f t="shared" ref="O323:O386" si="5">IF(OR(N323&lt;-1341.41,N323&gt;3330.41),"Outlier","Normal")</f>
        <v>Normal</v>
      </c>
    </row>
    <row r="324" spans="1:1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6">
        <v>1159.0999999999999</v>
      </c>
      <c r="O324" s="7" t="str">
        <f t="shared" si="5"/>
        <v>Normal</v>
      </c>
    </row>
    <row r="325" spans="1:1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6">
        <v>150.16999999999999</v>
      </c>
      <c r="O325" s="7" t="str">
        <f t="shared" si="5"/>
        <v>Normal</v>
      </c>
    </row>
    <row r="326" spans="1:1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s="3" t="s">
        <v>4283</v>
      </c>
      <c r="M326" t="s">
        <v>4279</v>
      </c>
      <c r="N326" s="6">
        <v>212.79</v>
      </c>
      <c r="O326" s="7" t="str">
        <f t="shared" si="5"/>
        <v>Normal</v>
      </c>
    </row>
    <row r="327" spans="1:1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s="3" t="s">
        <v>4283</v>
      </c>
      <c r="M327" t="s">
        <v>4279</v>
      </c>
      <c r="N327" s="6">
        <v>1084.17</v>
      </c>
      <c r="O327" s="7" t="str">
        <f t="shared" si="5"/>
        <v>Normal</v>
      </c>
    </row>
    <row r="328" spans="1:1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6">
        <v>3352.4</v>
      </c>
      <c r="O328" s="7" t="str">
        <f t="shared" si="5"/>
        <v>Outlier</v>
      </c>
    </row>
    <row r="329" spans="1:1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6">
        <v>359.99</v>
      </c>
      <c r="O329" s="7" t="str">
        <f t="shared" si="5"/>
        <v>Normal</v>
      </c>
    </row>
    <row r="330" spans="1:1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6">
        <v>3370.2</v>
      </c>
      <c r="O330" s="7" t="str">
        <f t="shared" si="5"/>
        <v>Outlier</v>
      </c>
    </row>
    <row r="331" spans="1:1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s="3" t="s">
        <v>4283</v>
      </c>
      <c r="M331" t="s">
        <v>4282</v>
      </c>
      <c r="N331" s="6">
        <v>1132.6400000000001</v>
      </c>
      <c r="O331" s="7" t="str">
        <f t="shared" si="5"/>
        <v>Normal</v>
      </c>
    </row>
    <row r="332" spans="1:1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6">
        <v>1302.6500000000001</v>
      </c>
      <c r="O332" s="7" t="str">
        <f t="shared" si="5"/>
        <v>Normal</v>
      </c>
    </row>
    <row r="333" spans="1:1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6">
        <v>1266.3900000000001</v>
      </c>
      <c r="O333" s="7" t="str">
        <f t="shared" si="5"/>
        <v>Normal</v>
      </c>
    </row>
    <row r="334" spans="1:1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6">
        <v>625.1</v>
      </c>
      <c r="O334" s="7" t="str">
        <f t="shared" si="5"/>
        <v>Normal</v>
      </c>
    </row>
    <row r="335" spans="1:1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6">
        <v>198.51</v>
      </c>
      <c r="O335" s="7" t="str">
        <f t="shared" si="5"/>
        <v>Normal</v>
      </c>
    </row>
    <row r="336" spans="1:1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6">
        <v>899</v>
      </c>
      <c r="O336" s="7" t="str">
        <f t="shared" si="5"/>
        <v>Normal</v>
      </c>
    </row>
    <row r="337" spans="1:1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s="3" t="s">
        <v>4283</v>
      </c>
      <c r="M337" t="s">
        <v>4280</v>
      </c>
      <c r="N337" s="6">
        <v>617.58000000000004</v>
      </c>
      <c r="O337" s="7" t="str">
        <f t="shared" si="5"/>
        <v>Normal</v>
      </c>
    </row>
    <row r="338" spans="1:1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6">
        <v>18.2</v>
      </c>
      <c r="O338" s="7" t="str">
        <f t="shared" si="5"/>
        <v>Normal</v>
      </c>
    </row>
    <row r="339" spans="1:1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6">
        <v>1508.31</v>
      </c>
      <c r="O339" s="7" t="str">
        <f t="shared" si="5"/>
        <v>Normal</v>
      </c>
    </row>
    <row r="340" spans="1:1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s="3" t="s">
        <v>4283</v>
      </c>
      <c r="M340" t="s">
        <v>4279</v>
      </c>
      <c r="N340" s="6">
        <v>1527.45</v>
      </c>
      <c r="O340" s="7" t="str">
        <f t="shared" si="5"/>
        <v>Normal</v>
      </c>
    </row>
    <row r="341" spans="1:1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6">
        <v>472.66</v>
      </c>
      <c r="O341" s="7" t="str">
        <f t="shared" si="5"/>
        <v>Normal</v>
      </c>
    </row>
    <row r="342" spans="1:1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s="3" t="s">
        <v>4283</v>
      </c>
      <c r="M342" t="s">
        <v>4280</v>
      </c>
      <c r="N342" s="6">
        <v>2606.25</v>
      </c>
      <c r="O342" s="7" t="str">
        <f t="shared" si="5"/>
        <v>Normal</v>
      </c>
    </row>
    <row r="343" spans="1:1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6">
        <v>167.15</v>
      </c>
      <c r="O343" s="7" t="str">
        <f t="shared" si="5"/>
        <v>Normal</v>
      </c>
    </row>
    <row r="344" spans="1:1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s="3" t="s">
        <v>4283</v>
      </c>
      <c r="M344" t="s">
        <v>4279</v>
      </c>
      <c r="N344" s="6">
        <v>2332.1</v>
      </c>
      <c r="O344" s="7" t="str">
        <f t="shared" si="5"/>
        <v>Normal</v>
      </c>
    </row>
    <row r="345" spans="1:1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6">
        <v>527.57000000000005</v>
      </c>
      <c r="O345" s="7" t="str">
        <f t="shared" si="5"/>
        <v>Normal</v>
      </c>
    </row>
    <row r="346" spans="1:1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6">
        <v>1870.02</v>
      </c>
      <c r="O346" s="7" t="str">
        <f t="shared" si="5"/>
        <v>Normal</v>
      </c>
    </row>
    <row r="347" spans="1:1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6">
        <v>2506.3000000000002</v>
      </c>
      <c r="O347" s="7" t="str">
        <f t="shared" si="5"/>
        <v>Normal</v>
      </c>
    </row>
    <row r="348" spans="1:1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s="3" t="s">
        <v>4283</v>
      </c>
      <c r="M348" t="s">
        <v>4279</v>
      </c>
      <c r="N348" s="6">
        <v>655.09</v>
      </c>
      <c r="O348" s="7" t="str">
        <f t="shared" si="5"/>
        <v>Normal</v>
      </c>
    </row>
    <row r="349" spans="1:1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6">
        <v>1059.1600000000001</v>
      </c>
      <c r="O349" s="7" t="str">
        <f t="shared" si="5"/>
        <v>Normal</v>
      </c>
    </row>
    <row r="350" spans="1:1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6">
        <v>1079.19</v>
      </c>
      <c r="O350" s="7" t="str">
        <f t="shared" si="5"/>
        <v>Normal</v>
      </c>
    </row>
    <row r="351" spans="1:1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6">
        <v>465.33</v>
      </c>
      <c r="O351" s="7" t="str">
        <f t="shared" si="5"/>
        <v>Normal</v>
      </c>
    </row>
    <row r="352" spans="1:1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s="3" t="s">
        <v>4283</v>
      </c>
      <c r="M352" t="s">
        <v>4278</v>
      </c>
      <c r="N352" s="6">
        <v>108.82</v>
      </c>
      <c r="O352" s="7" t="str">
        <f t="shared" si="5"/>
        <v>Normal</v>
      </c>
    </row>
    <row r="353" spans="1:1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s="3" t="s">
        <v>4283</v>
      </c>
      <c r="M353" t="s">
        <v>4278</v>
      </c>
      <c r="N353" s="6">
        <v>64.66</v>
      </c>
      <c r="O353" s="7" t="str">
        <f t="shared" si="5"/>
        <v>Normal</v>
      </c>
    </row>
    <row r="354" spans="1:1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6">
        <v>869.80000000000007</v>
      </c>
      <c r="O354" s="7" t="str">
        <f t="shared" si="5"/>
        <v>Normal</v>
      </c>
    </row>
    <row r="355" spans="1:1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6">
        <v>630.82000000000005</v>
      </c>
      <c r="O355" s="7" t="str">
        <f t="shared" si="5"/>
        <v>Normal</v>
      </c>
    </row>
    <row r="356" spans="1:1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s="3" t="s">
        <v>4283</v>
      </c>
      <c r="M356" t="s">
        <v>4278</v>
      </c>
      <c r="N356" s="6">
        <v>693.41</v>
      </c>
      <c r="O356" s="7" t="str">
        <f t="shared" si="5"/>
        <v>Normal</v>
      </c>
    </row>
    <row r="357" spans="1:1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6">
        <v>1299.99</v>
      </c>
      <c r="O357" s="7" t="str">
        <f t="shared" si="5"/>
        <v>Normal</v>
      </c>
    </row>
    <row r="358" spans="1:1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6">
        <v>1872.9</v>
      </c>
      <c r="O358" s="7" t="str">
        <f t="shared" si="5"/>
        <v>Normal</v>
      </c>
    </row>
    <row r="359" spans="1:1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6">
        <v>2042.8</v>
      </c>
      <c r="O359" s="7" t="str">
        <f t="shared" si="5"/>
        <v>Normal</v>
      </c>
    </row>
    <row r="360" spans="1:1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6">
        <v>367.34</v>
      </c>
      <c r="O360" s="7" t="str">
        <f t="shared" si="5"/>
        <v>Normal</v>
      </c>
    </row>
    <row r="361" spans="1:1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6">
        <v>2426.2800000000002</v>
      </c>
      <c r="O361" s="7" t="str">
        <f t="shared" si="5"/>
        <v>Normal</v>
      </c>
    </row>
    <row r="362" spans="1:1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s="3" t="s">
        <v>4283</v>
      </c>
      <c r="M362" t="s">
        <v>4278</v>
      </c>
      <c r="N362" s="6">
        <v>2358.2800000000002</v>
      </c>
      <c r="O362" s="7" t="str">
        <f t="shared" si="5"/>
        <v>Normal</v>
      </c>
    </row>
    <row r="363" spans="1:1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6">
        <v>3299.25</v>
      </c>
      <c r="O363" s="7" t="str">
        <f t="shared" si="5"/>
        <v>Normal</v>
      </c>
    </row>
    <row r="364" spans="1:1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6">
        <v>827.36</v>
      </c>
      <c r="O364" s="7" t="str">
        <f t="shared" si="5"/>
        <v>Normal</v>
      </c>
    </row>
    <row r="365" spans="1:1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6">
        <v>569.35</v>
      </c>
      <c r="O365" s="7" t="str">
        <f t="shared" si="5"/>
        <v>Normal</v>
      </c>
    </row>
    <row r="366" spans="1:1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6">
        <v>3143.7</v>
      </c>
      <c r="O366" s="7" t="str">
        <f t="shared" si="5"/>
        <v>Normal</v>
      </c>
    </row>
    <row r="367" spans="1:1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6">
        <v>678.38</v>
      </c>
      <c r="O367" s="7" t="str">
        <f t="shared" si="5"/>
        <v>Normal</v>
      </c>
    </row>
    <row r="368" spans="1:1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s="3" t="s">
        <v>4283</v>
      </c>
      <c r="M368" t="s">
        <v>4279</v>
      </c>
      <c r="N368" s="6">
        <v>1806.72</v>
      </c>
      <c r="O368" s="7" t="str">
        <f t="shared" si="5"/>
        <v>Normal</v>
      </c>
    </row>
    <row r="369" spans="1:1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6">
        <v>3293.85</v>
      </c>
      <c r="O369" s="7" t="str">
        <f t="shared" si="5"/>
        <v>Normal</v>
      </c>
    </row>
    <row r="370" spans="1:1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s="3" t="s">
        <v>4283</v>
      </c>
      <c r="M370" t="s">
        <v>4282</v>
      </c>
      <c r="N370" s="6">
        <v>813.06</v>
      </c>
      <c r="O370" s="7" t="str">
        <f t="shared" si="5"/>
        <v>Normal</v>
      </c>
    </row>
    <row r="371" spans="1:1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6">
        <v>1876.25</v>
      </c>
      <c r="O371" s="7" t="str">
        <f t="shared" si="5"/>
        <v>Normal</v>
      </c>
    </row>
    <row r="372" spans="1:1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6">
        <v>312.11</v>
      </c>
      <c r="O372" s="7" t="str">
        <f t="shared" si="5"/>
        <v>Normal</v>
      </c>
    </row>
    <row r="373" spans="1:1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6">
        <v>1538.8</v>
      </c>
      <c r="O373" s="7" t="str">
        <f t="shared" si="5"/>
        <v>Normal</v>
      </c>
    </row>
    <row r="374" spans="1:1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s="3" t="s">
        <v>4283</v>
      </c>
      <c r="M374" t="s">
        <v>4279</v>
      </c>
      <c r="N374" s="6">
        <v>1450.59</v>
      </c>
      <c r="O374" s="7" t="str">
        <f t="shared" si="5"/>
        <v>Normal</v>
      </c>
    </row>
    <row r="375" spans="1:1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6">
        <v>1023.45</v>
      </c>
      <c r="O375" s="7" t="str">
        <f t="shared" si="5"/>
        <v>Normal</v>
      </c>
    </row>
    <row r="376" spans="1:1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6">
        <v>571.9</v>
      </c>
      <c r="O376" s="7" t="str">
        <f t="shared" si="5"/>
        <v>Normal</v>
      </c>
    </row>
    <row r="377" spans="1:1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6">
        <v>380.12</v>
      </c>
      <c r="O377" s="7" t="str">
        <f t="shared" si="5"/>
        <v>Normal</v>
      </c>
    </row>
    <row r="378" spans="1:1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6">
        <v>1006.1</v>
      </c>
      <c r="O378" s="7" t="str">
        <f t="shared" si="5"/>
        <v>Normal</v>
      </c>
    </row>
    <row r="379" spans="1:1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6">
        <v>260.26</v>
      </c>
      <c r="O379" s="7" t="str">
        <f t="shared" si="5"/>
        <v>Normal</v>
      </c>
    </row>
    <row r="380" spans="1:1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6">
        <v>322.5</v>
      </c>
      <c r="O380" s="7" t="str">
        <f t="shared" si="5"/>
        <v>Normal</v>
      </c>
    </row>
    <row r="381" spans="1:1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s="3" t="s">
        <v>4283</v>
      </c>
      <c r="M381" t="s">
        <v>4282</v>
      </c>
      <c r="N381" s="6">
        <v>893.01</v>
      </c>
      <c r="O381" s="7" t="str">
        <f t="shared" si="5"/>
        <v>Normal</v>
      </c>
    </row>
    <row r="382" spans="1:1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6">
        <v>1327.6</v>
      </c>
      <c r="O382" s="7" t="str">
        <f t="shared" si="5"/>
        <v>Normal</v>
      </c>
    </row>
    <row r="383" spans="1:1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6">
        <v>191.76</v>
      </c>
      <c r="O383" s="7" t="str">
        <f t="shared" si="5"/>
        <v>Normal</v>
      </c>
    </row>
    <row r="384" spans="1:1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6">
        <v>1052.3599999999999</v>
      </c>
      <c r="O384" s="7" t="str">
        <f t="shared" si="5"/>
        <v>Normal</v>
      </c>
    </row>
    <row r="385" spans="1:1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6">
        <v>1575.2</v>
      </c>
      <c r="O385" s="7" t="str">
        <f t="shared" si="5"/>
        <v>Normal</v>
      </c>
    </row>
    <row r="386" spans="1:1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6">
        <v>1660.71</v>
      </c>
      <c r="O386" s="7" t="str">
        <f t="shared" si="5"/>
        <v>Normal</v>
      </c>
    </row>
    <row r="387" spans="1:1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6">
        <v>958.15</v>
      </c>
      <c r="O387" s="7" t="str">
        <f t="shared" ref="O387:O450" si="6">IF(OR(N387&lt;-1341.41,N387&gt;3330.41),"Outlier","Normal")</f>
        <v>Normal</v>
      </c>
    </row>
    <row r="388" spans="1:1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s="3" t="s">
        <v>4283</v>
      </c>
      <c r="M388" t="s">
        <v>4280</v>
      </c>
      <c r="N388" s="6">
        <v>93.02</v>
      </c>
      <c r="O388" s="7" t="str">
        <f t="shared" si="6"/>
        <v>Normal</v>
      </c>
    </row>
    <row r="389" spans="1:1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6">
        <v>79.06</v>
      </c>
      <c r="O389" s="7" t="str">
        <f t="shared" si="6"/>
        <v>Normal</v>
      </c>
    </row>
    <row r="390" spans="1:1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6">
        <v>1901.91</v>
      </c>
      <c r="O390" s="7" t="str">
        <f t="shared" si="6"/>
        <v>Normal</v>
      </c>
    </row>
    <row r="391" spans="1:1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6">
        <v>2790</v>
      </c>
      <c r="O391" s="7" t="str">
        <f t="shared" si="6"/>
        <v>Normal</v>
      </c>
    </row>
    <row r="392" spans="1:1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6">
        <v>2543.4499999999998</v>
      </c>
      <c r="O392" s="7" t="str">
        <f t="shared" si="6"/>
        <v>Normal</v>
      </c>
    </row>
    <row r="393" spans="1:1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6">
        <v>1054.92</v>
      </c>
      <c r="O393" s="7" t="str">
        <f t="shared" si="6"/>
        <v>Normal</v>
      </c>
    </row>
    <row r="394" spans="1:1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6">
        <v>627.20000000000005</v>
      </c>
      <c r="O394" s="7" t="str">
        <f t="shared" si="6"/>
        <v>Normal</v>
      </c>
    </row>
    <row r="395" spans="1:1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s="3" t="s">
        <v>4283</v>
      </c>
      <c r="M395" t="s">
        <v>4282</v>
      </c>
      <c r="N395" s="6">
        <v>75.010000000000005</v>
      </c>
      <c r="O395" s="7" t="str">
        <f t="shared" si="6"/>
        <v>Normal</v>
      </c>
    </row>
    <row r="396" spans="1:1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s="3" t="s">
        <v>4283</v>
      </c>
      <c r="M396" t="s">
        <v>4281</v>
      </c>
      <c r="N396" s="6">
        <v>2647.75</v>
      </c>
      <c r="O396" s="7" t="str">
        <f t="shared" si="6"/>
        <v>Normal</v>
      </c>
    </row>
    <row r="397" spans="1:1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6">
        <v>382.23</v>
      </c>
      <c r="O397" s="7" t="str">
        <f t="shared" si="6"/>
        <v>Normal</v>
      </c>
    </row>
    <row r="398" spans="1:1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6">
        <v>1435.65</v>
      </c>
      <c r="O398" s="7" t="str">
        <f t="shared" si="6"/>
        <v>Normal</v>
      </c>
    </row>
    <row r="399" spans="1:1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6">
        <v>427.06</v>
      </c>
      <c r="O399" s="7" t="str">
        <f t="shared" si="6"/>
        <v>Normal</v>
      </c>
    </row>
    <row r="400" spans="1:1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6">
        <v>269.64999999999998</v>
      </c>
      <c r="O400" s="7" t="str">
        <f t="shared" si="6"/>
        <v>Normal</v>
      </c>
    </row>
    <row r="401" spans="1:1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6">
        <v>2119.65</v>
      </c>
      <c r="O401" s="7" t="str">
        <f t="shared" si="6"/>
        <v>Normal</v>
      </c>
    </row>
    <row r="402" spans="1:1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6">
        <v>640.88</v>
      </c>
      <c r="O402" s="7" t="str">
        <f t="shared" si="6"/>
        <v>Normal</v>
      </c>
    </row>
    <row r="403" spans="1:1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s="3" t="s">
        <v>4283</v>
      </c>
      <c r="M403" t="s">
        <v>4279</v>
      </c>
      <c r="N403" s="6">
        <v>538.67999999999995</v>
      </c>
      <c r="O403" s="7" t="str">
        <f t="shared" si="6"/>
        <v>Normal</v>
      </c>
    </row>
    <row r="404" spans="1:1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s="3" t="s">
        <v>4283</v>
      </c>
      <c r="M404" t="s">
        <v>4279</v>
      </c>
      <c r="N404" s="6">
        <v>1686.9</v>
      </c>
      <c r="O404" s="7" t="str">
        <f t="shared" si="6"/>
        <v>Normal</v>
      </c>
    </row>
    <row r="405" spans="1:1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6">
        <v>620.21</v>
      </c>
      <c r="O405" s="7" t="str">
        <f t="shared" si="6"/>
        <v>Normal</v>
      </c>
    </row>
    <row r="406" spans="1:1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s="3" t="s">
        <v>4283</v>
      </c>
      <c r="M406" t="s">
        <v>4278</v>
      </c>
      <c r="N406" s="6">
        <v>198.2</v>
      </c>
      <c r="O406" s="7" t="str">
        <f t="shared" si="6"/>
        <v>Normal</v>
      </c>
    </row>
    <row r="407" spans="1:1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6">
        <v>1807.88</v>
      </c>
      <c r="O407" s="7" t="str">
        <f t="shared" si="6"/>
        <v>Normal</v>
      </c>
    </row>
    <row r="408" spans="1:1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6">
        <v>264.39999999999998</v>
      </c>
      <c r="O408" s="7" t="str">
        <f t="shared" si="6"/>
        <v>Normal</v>
      </c>
    </row>
    <row r="409" spans="1:1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6">
        <v>2189.2800000000002</v>
      </c>
      <c r="O409" s="7" t="str">
        <f t="shared" si="6"/>
        <v>Normal</v>
      </c>
    </row>
    <row r="410" spans="1:1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6">
        <v>1237.5899999999999</v>
      </c>
      <c r="O410" s="7" t="str">
        <f t="shared" si="6"/>
        <v>Normal</v>
      </c>
    </row>
    <row r="411" spans="1:1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6">
        <v>420.65</v>
      </c>
      <c r="O411" s="7" t="str">
        <f t="shared" si="6"/>
        <v>Normal</v>
      </c>
    </row>
    <row r="412" spans="1:1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s="3" t="s">
        <v>4283</v>
      </c>
      <c r="M412" t="s">
        <v>4280</v>
      </c>
      <c r="N412" s="6">
        <v>1036.46</v>
      </c>
      <c r="O412" s="7" t="str">
        <f t="shared" si="6"/>
        <v>Normal</v>
      </c>
    </row>
    <row r="413" spans="1:1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s="3" t="s">
        <v>4283</v>
      </c>
      <c r="M413" t="s">
        <v>4281</v>
      </c>
      <c r="N413" s="6">
        <v>79.02</v>
      </c>
      <c r="O413" s="7" t="str">
        <f t="shared" si="6"/>
        <v>Normal</v>
      </c>
    </row>
    <row r="414" spans="1:1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s="3" t="s">
        <v>4283</v>
      </c>
      <c r="M414" t="s">
        <v>4281</v>
      </c>
      <c r="N414" s="6">
        <v>665.05</v>
      </c>
      <c r="O414" s="7" t="str">
        <f t="shared" si="6"/>
        <v>Normal</v>
      </c>
    </row>
    <row r="415" spans="1:1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6">
        <v>118.8</v>
      </c>
      <c r="O415" s="7" t="str">
        <f t="shared" si="6"/>
        <v>Normal</v>
      </c>
    </row>
    <row r="416" spans="1:1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6">
        <v>279.14</v>
      </c>
      <c r="O416" s="7" t="str">
        <f t="shared" si="6"/>
        <v>Normal</v>
      </c>
    </row>
    <row r="417" spans="1:1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6">
        <v>184.15</v>
      </c>
      <c r="O417" s="7" t="str">
        <f t="shared" si="6"/>
        <v>Normal</v>
      </c>
    </row>
    <row r="418" spans="1:1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6">
        <v>1288.0999999999999</v>
      </c>
      <c r="O418" s="7" t="str">
        <f t="shared" si="6"/>
        <v>Normal</v>
      </c>
    </row>
    <row r="419" spans="1:1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s="3" t="s">
        <v>4283</v>
      </c>
      <c r="M419" t="s">
        <v>4282</v>
      </c>
      <c r="N419" s="6">
        <v>277.05</v>
      </c>
      <c r="O419" s="7" t="str">
        <f t="shared" si="6"/>
        <v>Normal</v>
      </c>
    </row>
    <row r="420" spans="1:1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s="3" t="s">
        <v>4283</v>
      </c>
      <c r="M420" t="s">
        <v>4281</v>
      </c>
      <c r="N420" s="6">
        <v>310.93</v>
      </c>
      <c r="O420" s="7" t="str">
        <f t="shared" si="6"/>
        <v>Normal</v>
      </c>
    </row>
    <row r="421" spans="1:1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6">
        <v>433.32</v>
      </c>
      <c r="O421" s="7" t="str">
        <f t="shared" si="6"/>
        <v>Normal</v>
      </c>
    </row>
    <row r="422" spans="1:1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6">
        <v>452.7</v>
      </c>
      <c r="O422" s="7" t="str">
        <f t="shared" si="6"/>
        <v>Normal</v>
      </c>
    </row>
    <row r="423" spans="1:1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s="3" t="s">
        <v>4283</v>
      </c>
      <c r="M423" t="s">
        <v>4280</v>
      </c>
      <c r="N423" s="6">
        <v>576.41999999999996</v>
      </c>
      <c r="O423" s="7" t="str">
        <f t="shared" si="6"/>
        <v>Normal</v>
      </c>
    </row>
    <row r="424" spans="1:1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6">
        <v>826.4</v>
      </c>
      <c r="O424" s="7" t="str">
        <f t="shared" si="6"/>
        <v>Normal</v>
      </c>
    </row>
    <row r="425" spans="1:1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6">
        <v>2740.8</v>
      </c>
      <c r="O425" s="7" t="str">
        <f t="shared" si="6"/>
        <v>Normal</v>
      </c>
    </row>
    <row r="426" spans="1:1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s="3" t="s">
        <v>4283</v>
      </c>
      <c r="M426" t="s">
        <v>4280</v>
      </c>
      <c r="N426" s="6">
        <v>114.7</v>
      </c>
      <c r="O426" s="7" t="str">
        <f t="shared" si="6"/>
        <v>Normal</v>
      </c>
    </row>
    <row r="427" spans="1:1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6">
        <v>603.76</v>
      </c>
      <c r="O427" s="7" t="str">
        <f t="shared" si="6"/>
        <v>Normal</v>
      </c>
    </row>
    <row r="428" spans="1:1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s="3" t="s">
        <v>4283</v>
      </c>
      <c r="M428" t="s">
        <v>4281</v>
      </c>
      <c r="N428" s="6">
        <v>287.25</v>
      </c>
      <c r="O428" s="7" t="str">
        <f t="shared" si="6"/>
        <v>Normal</v>
      </c>
    </row>
    <row r="429" spans="1:1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6">
        <v>161.24</v>
      </c>
      <c r="O429" s="7" t="str">
        <f t="shared" si="6"/>
        <v>Normal</v>
      </c>
    </row>
    <row r="430" spans="1:1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6">
        <v>1050.32</v>
      </c>
      <c r="O430" s="7" t="str">
        <f t="shared" si="6"/>
        <v>Normal</v>
      </c>
    </row>
    <row r="431" spans="1:1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6">
        <v>2060.7600000000002</v>
      </c>
      <c r="O431" s="7" t="str">
        <f t="shared" si="6"/>
        <v>Normal</v>
      </c>
    </row>
    <row r="432" spans="1:1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6">
        <v>450.07</v>
      </c>
      <c r="O432" s="7" t="str">
        <f t="shared" si="6"/>
        <v>Normal</v>
      </c>
    </row>
    <row r="433" spans="1:1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6">
        <v>52.54</v>
      </c>
      <c r="O433" s="7" t="str">
        <f t="shared" si="6"/>
        <v>Normal</v>
      </c>
    </row>
    <row r="434" spans="1:1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s="3" t="s">
        <v>4283</v>
      </c>
      <c r="M434" t="s">
        <v>4279</v>
      </c>
      <c r="N434" s="6">
        <v>848.64</v>
      </c>
      <c r="O434" s="7" t="str">
        <f t="shared" si="6"/>
        <v>Normal</v>
      </c>
    </row>
    <row r="435" spans="1:1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6">
        <v>1894.92</v>
      </c>
      <c r="O435" s="7" t="str">
        <f t="shared" si="6"/>
        <v>Normal</v>
      </c>
    </row>
    <row r="436" spans="1:1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s="3" t="s">
        <v>4283</v>
      </c>
      <c r="M436" t="s">
        <v>4281</v>
      </c>
      <c r="N436" s="6">
        <v>1638.4</v>
      </c>
      <c r="O436" s="7" t="str">
        <f t="shared" si="6"/>
        <v>Normal</v>
      </c>
    </row>
    <row r="437" spans="1:1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6">
        <v>414.47</v>
      </c>
      <c r="O437" s="7" t="str">
        <f t="shared" si="6"/>
        <v>Normal</v>
      </c>
    </row>
    <row r="438" spans="1:1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s="3" t="s">
        <v>4283</v>
      </c>
      <c r="M438" t="s">
        <v>4282</v>
      </c>
      <c r="N438" s="6">
        <v>885.32</v>
      </c>
      <c r="O438" s="7" t="str">
        <f t="shared" si="6"/>
        <v>Normal</v>
      </c>
    </row>
    <row r="439" spans="1:1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6">
        <v>512.39</v>
      </c>
      <c r="O439" s="7" t="str">
        <f t="shared" si="6"/>
        <v>Normal</v>
      </c>
    </row>
    <row r="440" spans="1:1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6">
        <v>1378.02</v>
      </c>
      <c r="O440" s="7" t="str">
        <f t="shared" si="6"/>
        <v>Normal</v>
      </c>
    </row>
    <row r="441" spans="1:1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6">
        <v>146.32</v>
      </c>
      <c r="O441" s="7" t="str">
        <f t="shared" si="6"/>
        <v>Normal</v>
      </c>
    </row>
    <row r="442" spans="1:1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6">
        <v>334.4</v>
      </c>
      <c r="O442" s="7" t="str">
        <f t="shared" si="6"/>
        <v>Normal</v>
      </c>
    </row>
    <row r="443" spans="1:1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6">
        <v>657.08</v>
      </c>
      <c r="O443" s="7" t="str">
        <f t="shared" si="6"/>
        <v>Normal</v>
      </c>
    </row>
    <row r="444" spans="1:1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6">
        <v>1574.7</v>
      </c>
      <c r="O444" s="7" t="str">
        <f t="shared" si="6"/>
        <v>Normal</v>
      </c>
    </row>
    <row r="445" spans="1:1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s="3" t="s">
        <v>4283</v>
      </c>
      <c r="M445" t="s">
        <v>4281</v>
      </c>
      <c r="N445" s="6">
        <v>139.28</v>
      </c>
      <c r="O445" s="7" t="str">
        <f t="shared" si="6"/>
        <v>Normal</v>
      </c>
    </row>
    <row r="446" spans="1:1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6">
        <v>135.16999999999999</v>
      </c>
      <c r="O446" s="7" t="str">
        <f t="shared" si="6"/>
        <v>Normal</v>
      </c>
    </row>
    <row r="447" spans="1:1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6">
        <v>487.21</v>
      </c>
      <c r="O447" s="7" t="str">
        <f t="shared" si="6"/>
        <v>Normal</v>
      </c>
    </row>
    <row r="448" spans="1:1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6">
        <v>2547.9</v>
      </c>
      <c r="O448" s="7" t="str">
        <f t="shared" si="6"/>
        <v>Normal</v>
      </c>
    </row>
    <row r="449" spans="1:1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s="3" t="s">
        <v>4283</v>
      </c>
      <c r="M449" t="s">
        <v>4281</v>
      </c>
      <c r="N449" s="6">
        <v>833.62</v>
      </c>
      <c r="O449" s="7" t="str">
        <f t="shared" si="6"/>
        <v>Normal</v>
      </c>
    </row>
    <row r="450" spans="1:1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6">
        <v>320</v>
      </c>
      <c r="O450" s="7" t="str">
        <f t="shared" si="6"/>
        <v>Normal</v>
      </c>
    </row>
    <row r="451" spans="1:1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s="3" t="s">
        <v>4283</v>
      </c>
      <c r="M451" t="s">
        <v>4278</v>
      </c>
      <c r="N451" s="6">
        <v>759.15000000000009</v>
      </c>
      <c r="O451" s="7" t="str">
        <f t="shared" ref="O451:O514" si="7">IF(OR(N451&lt;-1341.41,N451&gt;3330.41),"Outlier","Normal")</f>
        <v>Normal</v>
      </c>
    </row>
    <row r="452" spans="1:1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6">
        <v>3075.5</v>
      </c>
      <c r="O452" s="7" t="str">
        <f t="shared" si="7"/>
        <v>Normal</v>
      </c>
    </row>
    <row r="453" spans="1:1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6">
        <v>183.18</v>
      </c>
      <c r="O453" s="7" t="str">
        <f t="shared" si="7"/>
        <v>Normal</v>
      </c>
    </row>
    <row r="454" spans="1:1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6">
        <v>75.78</v>
      </c>
      <c r="O454" s="7" t="str">
        <f t="shared" si="7"/>
        <v>Normal</v>
      </c>
    </row>
    <row r="455" spans="1:1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6">
        <v>675.57</v>
      </c>
      <c r="O455" s="7" t="str">
        <f t="shared" si="7"/>
        <v>Normal</v>
      </c>
    </row>
    <row r="456" spans="1:1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6">
        <v>109.29</v>
      </c>
      <c r="O456" s="7" t="str">
        <f t="shared" si="7"/>
        <v>Normal</v>
      </c>
    </row>
    <row r="457" spans="1:1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6">
        <v>639.83000000000004</v>
      </c>
      <c r="O457" s="7" t="str">
        <f t="shared" si="7"/>
        <v>Normal</v>
      </c>
    </row>
    <row r="458" spans="1:1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6">
        <v>314.05</v>
      </c>
      <c r="O458" s="7" t="str">
        <f t="shared" si="7"/>
        <v>Normal</v>
      </c>
    </row>
    <row r="459" spans="1:1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6">
        <v>2463.3200000000002</v>
      </c>
      <c r="O459" s="7" t="str">
        <f t="shared" si="7"/>
        <v>Normal</v>
      </c>
    </row>
    <row r="460" spans="1:1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6">
        <v>2042.32</v>
      </c>
      <c r="O460" s="7" t="str">
        <f t="shared" si="7"/>
        <v>Normal</v>
      </c>
    </row>
    <row r="461" spans="1:1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s="3" t="s">
        <v>4283</v>
      </c>
      <c r="M461" t="s">
        <v>4278</v>
      </c>
      <c r="N461" s="6">
        <v>334.39</v>
      </c>
      <c r="O461" s="7" t="str">
        <f t="shared" si="7"/>
        <v>Normal</v>
      </c>
    </row>
    <row r="462" spans="1:1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6">
        <v>144.25</v>
      </c>
      <c r="O462" s="7" t="str">
        <f t="shared" si="7"/>
        <v>Normal</v>
      </c>
    </row>
    <row r="463" spans="1:1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6">
        <v>401.82</v>
      </c>
      <c r="O463" s="7" t="str">
        <f t="shared" si="7"/>
        <v>Normal</v>
      </c>
    </row>
    <row r="464" spans="1:1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s="3" t="s">
        <v>4283</v>
      </c>
      <c r="M464" t="s">
        <v>4279</v>
      </c>
      <c r="N464" s="6">
        <v>252.68</v>
      </c>
      <c r="O464" s="7" t="str">
        <f t="shared" si="7"/>
        <v>Normal</v>
      </c>
    </row>
    <row r="465" spans="1:1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6">
        <v>3313.9</v>
      </c>
      <c r="O465" s="7" t="str">
        <f t="shared" si="7"/>
        <v>Normal</v>
      </c>
    </row>
    <row r="466" spans="1:1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6">
        <v>1737.68</v>
      </c>
      <c r="O466" s="7" t="str">
        <f t="shared" si="7"/>
        <v>Normal</v>
      </c>
    </row>
    <row r="467" spans="1:1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s="3" t="s">
        <v>4283</v>
      </c>
      <c r="M467" t="s">
        <v>4282</v>
      </c>
      <c r="N467" s="6">
        <v>2567.4499999999998</v>
      </c>
      <c r="O467" s="7" t="str">
        <f t="shared" si="7"/>
        <v>Normal</v>
      </c>
    </row>
    <row r="468" spans="1:1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6">
        <v>432.47</v>
      </c>
      <c r="O468" s="7" t="str">
        <f t="shared" si="7"/>
        <v>Normal</v>
      </c>
    </row>
    <row r="469" spans="1:1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6">
        <v>45.94</v>
      </c>
      <c r="O469" s="7" t="str">
        <f t="shared" si="7"/>
        <v>Normal</v>
      </c>
    </row>
    <row r="470" spans="1:1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6">
        <v>418.36</v>
      </c>
      <c r="O470" s="7" t="str">
        <f t="shared" si="7"/>
        <v>Normal</v>
      </c>
    </row>
    <row r="471" spans="1:1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s="3" t="s">
        <v>4283</v>
      </c>
      <c r="M471" t="s">
        <v>4281</v>
      </c>
      <c r="N471" s="6">
        <v>3384.9</v>
      </c>
      <c r="O471" s="7" t="str">
        <f t="shared" si="7"/>
        <v>Outlier</v>
      </c>
    </row>
    <row r="472" spans="1:1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6">
        <v>1054.48</v>
      </c>
      <c r="O472" s="7" t="str">
        <f t="shared" si="7"/>
        <v>Normal</v>
      </c>
    </row>
    <row r="473" spans="1:1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6">
        <v>2756.35</v>
      </c>
      <c r="O473" s="7" t="str">
        <f t="shared" si="7"/>
        <v>Normal</v>
      </c>
    </row>
    <row r="474" spans="1:1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6">
        <v>1524.36</v>
      </c>
      <c r="O474" s="7" t="str">
        <f t="shared" si="7"/>
        <v>Normal</v>
      </c>
    </row>
    <row r="475" spans="1:1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s="3" t="s">
        <v>4283</v>
      </c>
      <c r="M475" t="s">
        <v>4281</v>
      </c>
      <c r="N475" s="6">
        <v>29.86</v>
      </c>
      <c r="O475" s="7" t="str">
        <f t="shared" si="7"/>
        <v>Normal</v>
      </c>
    </row>
    <row r="476" spans="1:1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6">
        <v>688.02</v>
      </c>
      <c r="O476" s="7" t="str">
        <f t="shared" si="7"/>
        <v>Normal</v>
      </c>
    </row>
    <row r="477" spans="1:1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6">
        <v>877.24</v>
      </c>
      <c r="O477" s="7" t="str">
        <f t="shared" si="7"/>
        <v>Normal</v>
      </c>
    </row>
    <row r="478" spans="1:1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6">
        <v>1027.18</v>
      </c>
      <c r="O478" s="7" t="str">
        <f t="shared" si="7"/>
        <v>Normal</v>
      </c>
    </row>
    <row r="479" spans="1:1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6">
        <v>507.48</v>
      </c>
      <c r="O479" s="7" t="str">
        <f t="shared" si="7"/>
        <v>Normal</v>
      </c>
    </row>
    <row r="480" spans="1:1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6">
        <v>188.31</v>
      </c>
      <c r="O480" s="7" t="str">
        <f t="shared" si="7"/>
        <v>Normal</v>
      </c>
    </row>
    <row r="481" spans="1:1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s="3" t="s">
        <v>4283</v>
      </c>
      <c r="M481" t="s">
        <v>4282</v>
      </c>
      <c r="N481" s="6">
        <v>101.16</v>
      </c>
      <c r="O481" s="7" t="str">
        <f t="shared" si="7"/>
        <v>Normal</v>
      </c>
    </row>
    <row r="482" spans="1:1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6">
        <v>335.1</v>
      </c>
      <c r="O482" s="7" t="str">
        <f t="shared" si="7"/>
        <v>Normal</v>
      </c>
    </row>
    <row r="483" spans="1:1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6">
        <v>1939.4</v>
      </c>
      <c r="O483" s="7" t="str">
        <f t="shared" si="7"/>
        <v>Normal</v>
      </c>
    </row>
    <row r="484" spans="1:1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s="3" t="s">
        <v>4283</v>
      </c>
      <c r="M484" t="s">
        <v>4278</v>
      </c>
      <c r="N484" s="6">
        <v>1144.23</v>
      </c>
      <c r="O484" s="7" t="str">
        <f t="shared" si="7"/>
        <v>Normal</v>
      </c>
    </row>
    <row r="485" spans="1:1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6">
        <v>1739.6</v>
      </c>
      <c r="O485" s="7" t="str">
        <f t="shared" si="7"/>
        <v>Normal</v>
      </c>
    </row>
    <row r="486" spans="1:1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s="3" t="s">
        <v>4283</v>
      </c>
      <c r="M486" t="s">
        <v>4281</v>
      </c>
      <c r="N486" s="6">
        <v>60.04</v>
      </c>
      <c r="O486" s="7" t="str">
        <f t="shared" si="7"/>
        <v>Normal</v>
      </c>
    </row>
    <row r="487" spans="1:1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6">
        <v>1214.3699999999999</v>
      </c>
      <c r="O487" s="7" t="str">
        <f t="shared" si="7"/>
        <v>Normal</v>
      </c>
    </row>
    <row r="488" spans="1:1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6">
        <v>2445.04</v>
      </c>
      <c r="O488" s="7" t="str">
        <f t="shared" si="7"/>
        <v>Normal</v>
      </c>
    </row>
    <row r="489" spans="1:1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6">
        <v>1039.56</v>
      </c>
      <c r="O489" s="7" t="str">
        <f t="shared" si="7"/>
        <v>Normal</v>
      </c>
    </row>
    <row r="490" spans="1:1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6">
        <v>36.65</v>
      </c>
      <c r="O490" s="7" t="str">
        <f t="shared" si="7"/>
        <v>Normal</v>
      </c>
    </row>
    <row r="491" spans="1:1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6">
        <v>448.02</v>
      </c>
      <c r="O491" s="7" t="str">
        <f t="shared" si="7"/>
        <v>Normal</v>
      </c>
    </row>
    <row r="492" spans="1:1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s="3" t="s">
        <v>4283</v>
      </c>
      <c r="M492" t="s">
        <v>4281</v>
      </c>
      <c r="N492" s="6">
        <v>2339.0500000000002</v>
      </c>
      <c r="O492" s="7" t="str">
        <f t="shared" si="7"/>
        <v>Normal</v>
      </c>
    </row>
    <row r="493" spans="1:1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6">
        <v>2103.5</v>
      </c>
      <c r="O493" s="7" t="str">
        <f t="shared" si="7"/>
        <v>Normal</v>
      </c>
    </row>
    <row r="494" spans="1:1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6">
        <v>3032.6</v>
      </c>
      <c r="O494" s="7" t="str">
        <f t="shared" si="7"/>
        <v>Normal</v>
      </c>
    </row>
    <row r="495" spans="1:1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6">
        <v>420.26</v>
      </c>
      <c r="O495" s="7" t="str">
        <f t="shared" si="7"/>
        <v>Normal</v>
      </c>
    </row>
    <row r="496" spans="1:1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6">
        <v>1517.37</v>
      </c>
      <c r="O496" s="7" t="str">
        <f t="shared" si="7"/>
        <v>Normal</v>
      </c>
    </row>
    <row r="497" spans="1:1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6">
        <v>1974.92</v>
      </c>
      <c r="O497" s="7" t="str">
        <f t="shared" si="7"/>
        <v>Normal</v>
      </c>
    </row>
    <row r="498" spans="1:1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6">
        <v>603.63</v>
      </c>
      <c r="O498" s="7" t="str">
        <f t="shared" si="7"/>
        <v>Normal</v>
      </c>
    </row>
    <row r="499" spans="1:1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s="3" t="s">
        <v>4283</v>
      </c>
      <c r="M499" t="s">
        <v>4282</v>
      </c>
      <c r="N499" s="6">
        <v>336.87</v>
      </c>
      <c r="O499" s="7" t="str">
        <f t="shared" si="7"/>
        <v>Normal</v>
      </c>
    </row>
    <row r="500" spans="1:1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6">
        <v>530.24</v>
      </c>
      <c r="O500" s="7" t="str">
        <f t="shared" si="7"/>
        <v>Normal</v>
      </c>
    </row>
    <row r="501" spans="1:1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6">
        <v>1618.38</v>
      </c>
      <c r="O501" s="7" t="str">
        <f t="shared" si="7"/>
        <v>Normal</v>
      </c>
    </row>
    <row r="502" spans="1:1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6">
        <v>2542.9499999999998</v>
      </c>
      <c r="O502" s="7" t="str">
        <f t="shared" si="7"/>
        <v>Normal</v>
      </c>
    </row>
    <row r="503" spans="1:1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6">
        <v>813.84</v>
      </c>
      <c r="O503" s="7" t="str">
        <f t="shared" si="7"/>
        <v>Normal</v>
      </c>
    </row>
    <row r="504" spans="1:1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6">
        <v>1695.75</v>
      </c>
      <c r="O504" s="7" t="str">
        <f t="shared" si="7"/>
        <v>Normal</v>
      </c>
    </row>
    <row r="505" spans="1:1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6">
        <v>410.52</v>
      </c>
      <c r="O505" s="7" t="str">
        <f t="shared" si="7"/>
        <v>Normal</v>
      </c>
    </row>
    <row r="506" spans="1:1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6">
        <v>929</v>
      </c>
      <c r="O506" s="7" t="str">
        <f t="shared" si="7"/>
        <v>Normal</v>
      </c>
    </row>
    <row r="507" spans="1:1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s="3" t="s">
        <v>4283</v>
      </c>
      <c r="M507" t="s">
        <v>4280</v>
      </c>
      <c r="N507" s="6">
        <v>869.94</v>
      </c>
      <c r="O507" s="7" t="str">
        <f t="shared" si="7"/>
        <v>Normal</v>
      </c>
    </row>
    <row r="508" spans="1:1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6">
        <v>87.34</v>
      </c>
      <c r="O508" s="7" t="str">
        <f t="shared" si="7"/>
        <v>Normal</v>
      </c>
    </row>
    <row r="509" spans="1:1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6">
        <v>171.59</v>
      </c>
      <c r="O509" s="7" t="str">
        <f t="shared" si="7"/>
        <v>Normal</v>
      </c>
    </row>
    <row r="510" spans="1:1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s="3" t="s">
        <v>4283</v>
      </c>
      <c r="M510" t="s">
        <v>4279</v>
      </c>
      <c r="N510" s="6">
        <v>558.27</v>
      </c>
      <c r="O510" s="7" t="str">
        <f t="shared" si="7"/>
        <v>Normal</v>
      </c>
    </row>
    <row r="511" spans="1:1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6">
        <v>850.06</v>
      </c>
      <c r="O511" s="7" t="str">
        <f t="shared" si="7"/>
        <v>Normal</v>
      </c>
    </row>
    <row r="512" spans="1:1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6">
        <v>376.76</v>
      </c>
      <c r="O512" s="7" t="str">
        <f t="shared" si="7"/>
        <v>Normal</v>
      </c>
    </row>
    <row r="513" spans="1:1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6">
        <v>2876.2</v>
      </c>
      <c r="O513" s="7" t="str">
        <f t="shared" si="7"/>
        <v>Normal</v>
      </c>
    </row>
    <row r="514" spans="1:1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6">
        <v>1704.06</v>
      </c>
      <c r="O514" s="7" t="str">
        <f t="shared" si="7"/>
        <v>Normal</v>
      </c>
    </row>
    <row r="515" spans="1:1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s="3" t="s">
        <v>4283</v>
      </c>
      <c r="M515" t="s">
        <v>4279</v>
      </c>
      <c r="N515" s="6">
        <v>284.64</v>
      </c>
      <c r="O515" s="7" t="str">
        <f t="shared" ref="O515:O578" si="8">IF(OR(N515&lt;-1341.41,N515&gt;3330.41),"Outlier","Normal")</f>
        <v>Normal</v>
      </c>
    </row>
    <row r="516" spans="1:1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6">
        <v>912.44999999999993</v>
      </c>
      <c r="O516" s="7" t="str">
        <f t="shared" si="8"/>
        <v>Normal</v>
      </c>
    </row>
    <row r="517" spans="1:1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6">
        <v>1660.56</v>
      </c>
      <c r="O517" s="7" t="str">
        <f t="shared" si="8"/>
        <v>Normal</v>
      </c>
    </row>
    <row r="518" spans="1:1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s="3" t="s">
        <v>4283</v>
      </c>
      <c r="M518" t="s">
        <v>4281</v>
      </c>
      <c r="N518" s="6">
        <v>500.97</v>
      </c>
      <c r="O518" s="7" t="str">
        <f t="shared" si="8"/>
        <v>Normal</v>
      </c>
    </row>
    <row r="519" spans="1:1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6">
        <v>793.4</v>
      </c>
      <c r="O519" s="7" t="str">
        <f t="shared" si="8"/>
        <v>Normal</v>
      </c>
    </row>
    <row r="520" spans="1:1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6">
        <v>1614.32</v>
      </c>
      <c r="O520" s="7" t="str">
        <f t="shared" si="8"/>
        <v>Normal</v>
      </c>
    </row>
    <row r="521" spans="1:1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6">
        <v>1857.16</v>
      </c>
      <c r="O521" s="7" t="str">
        <f t="shared" si="8"/>
        <v>Normal</v>
      </c>
    </row>
    <row r="522" spans="1:1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s="3" t="s">
        <v>4283</v>
      </c>
      <c r="M522" t="s">
        <v>4279</v>
      </c>
      <c r="N522" s="6">
        <v>1907.94</v>
      </c>
      <c r="O522" s="7" t="str">
        <f t="shared" si="8"/>
        <v>Normal</v>
      </c>
    </row>
    <row r="523" spans="1:1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s="3" t="s">
        <v>4283</v>
      </c>
      <c r="M523" t="s">
        <v>4281</v>
      </c>
      <c r="N523" s="6">
        <v>528.05999999999995</v>
      </c>
      <c r="O523" s="7" t="str">
        <f t="shared" si="8"/>
        <v>Normal</v>
      </c>
    </row>
    <row r="524" spans="1:1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6">
        <v>515.32000000000005</v>
      </c>
      <c r="O524" s="7" t="str">
        <f t="shared" si="8"/>
        <v>Normal</v>
      </c>
    </row>
    <row r="525" spans="1:1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6">
        <v>2631.16</v>
      </c>
      <c r="O525" s="7" t="str">
        <f t="shared" si="8"/>
        <v>Normal</v>
      </c>
    </row>
    <row r="526" spans="1:1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s="3" t="s">
        <v>4283</v>
      </c>
      <c r="M526" t="s">
        <v>4279</v>
      </c>
      <c r="N526" s="6">
        <v>153</v>
      </c>
      <c r="O526" s="7" t="str">
        <f t="shared" si="8"/>
        <v>Normal</v>
      </c>
    </row>
    <row r="527" spans="1:1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6">
        <v>668.48</v>
      </c>
      <c r="O527" s="7" t="str">
        <f t="shared" si="8"/>
        <v>Normal</v>
      </c>
    </row>
    <row r="528" spans="1:1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6">
        <v>93</v>
      </c>
      <c r="O528" s="7" t="str">
        <f t="shared" si="8"/>
        <v>Normal</v>
      </c>
    </row>
    <row r="529" spans="1:1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6">
        <v>3267.35</v>
      </c>
      <c r="O529" s="7" t="str">
        <f t="shared" si="8"/>
        <v>Normal</v>
      </c>
    </row>
    <row r="530" spans="1:1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6">
        <v>628.89</v>
      </c>
      <c r="O530" s="7" t="str">
        <f t="shared" si="8"/>
        <v>Normal</v>
      </c>
    </row>
    <row r="531" spans="1:1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6">
        <v>1350.2</v>
      </c>
      <c r="O531" s="7" t="str">
        <f t="shared" si="8"/>
        <v>Normal</v>
      </c>
    </row>
    <row r="532" spans="1:1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s="3" t="s">
        <v>4283</v>
      </c>
      <c r="M532" t="s">
        <v>4282</v>
      </c>
      <c r="N532" s="6">
        <v>357.64</v>
      </c>
      <c r="O532" s="7" t="str">
        <f t="shared" si="8"/>
        <v>Normal</v>
      </c>
    </row>
    <row r="533" spans="1:1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s="3" t="s">
        <v>4283</v>
      </c>
      <c r="M533" t="s">
        <v>4279</v>
      </c>
      <c r="N533" s="6">
        <v>1600.05</v>
      </c>
      <c r="O533" s="7" t="str">
        <f t="shared" si="8"/>
        <v>Normal</v>
      </c>
    </row>
    <row r="534" spans="1:1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s="3" t="s">
        <v>4283</v>
      </c>
      <c r="M534" t="s">
        <v>4280</v>
      </c>
      <c r="N534" s="6">
        <v>82</v>
      </c>
      <c r="O534" s="7" t="str">
        <f t="shared" si="8"/>
        <v>Normal</v>
      </c>
    </row>
    <row r="535" spans="1:1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6">
        <v>565.85</v>
      </c>
      <c r="O535" s="7" t="str">
        <f t="shared" si="8"/>
        <v>Normal</v>
      </c>
    </row>
    <row r="536" spans="1:1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6">
        <v>1945.77</v>
      </c>
      <c r="O536" s="7" t="str">
        <f t="shared" si="8"/>
        <v>Normal</v>
      </c>
    </row>
    <row r="537" spans="1:1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6">
        <v>204.36</v>
      </c>
      <c r="O537" s="7" t="str">
        <f t="shared" si="8"/>
        <v>Normal</v>
      </c>
    </row>
    <row r="538" spans="1:1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s="3" t="s">
        <v>4283</v>
      </c>
      <c r="M538" t="s">
        <v>4280</v>
      </c>
      <c r="N538" s="6">
        <v>616.1</v>
      </c>
      <c r="O538" s="7" t="str">
        <f t="shared" si="8"/>
        <v>Normal</v>
      </c>
    </row>
    <row r="539" spans="1:1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6">
        <v>742.41</v>
      </c>
      <c r="O539" s="7" t="str">
        <f t="shared" si="8"/>
        <v>Normal</v>
      </c>
    </row>
    <row r="540" spans="1:1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6">
        <v>1472.22</v>
      </c>
      <c r="O540" s="7" t="str">
        <f t="shared" si="8"/>
        <v>Normal</v>
      </c>
    </row>
    <row r="541" spans="1:1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6">
        <v>1595.16</v>
      </c>
      <c r="O541" s="7" t="str">
        <f t="shared" si="8"/>
        <v>Normal</v>
      </c>
    </row>
    <row r="542" spans="1:1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s="3" t="s">
        <v>4283</v>
      </c>
      <c r="M542" t="s">
        <v>4279</v>
      </c>
      <c r="N542" s="6">
        <v>3243.25</v>
      </c>
      <c r="O542" s="7" t="str">
        <f t="shared" si="8"/>
        <v>Normal</v>
      </c>
    </row>
    <row r="543" spans="1:1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s="3" t="s">
        <v>4283</v>
      </c>
      <c r="M543" t="s">
        <v>4278</v>
      </c>
      <c r="N543" s="6">
        <v>2280.3000000000002</v>
      </c>
      <c r="O543" s="7" t="str">
        <f t="shared" si="8"/>
        <v>Normal</v>
      </c>
    </row>
    <row r="544" spans="1:1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6">
        <v>17.98</v>
      </c>
      <c r="O544" s="7" t="str">
        <f t="shared" si="8"/>
        <v>Normal</v>
      </c>
    </row>
    <row r="545" spans="1:1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6">
        <v>1349.3</v>
      </c>
      <c r="O545" s="7" t="str">
        <f t="shared" si="8"/>
        <v>Normal</v>
      </c>
    </row>
    <row r="546" spans="1:1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6">
        <v>159.80000000000001</v>
      </c>
      <c r="O546" s="7" t="str">
        <f t="shared" si="8"/>
        <v>Normal</v>
      </c>
    </row>
    <row r="547" spans="1:1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s="3" t="s">
        <v>4283</v>
      </c>
      <c r="M547" t="s">
        <v>4278</v>
      </c>
      <c r="N547" s="6">
        <v>196.94</v>
      </c>
      <c r="O547" s="7" t="str">
        <f t="shared" si="8"/>
        <v>Normal</v>
      </c>
    </row>
    <row r="548" spans="1:1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6">
        <v>158.68</v>
      </c>
      <c r="O548" s="7" t="str">
        <f t="shared" si="8"/>
        <v>Normal</v>
      </c>
    </row>
    <row r="549" spans="1:1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6">
        <v>613.98</v>
      </c>
      <c r="O549" s="7" t="str">
        <f t="shared" si="8"/>
        <v>Normal</v>
      </c>
    </row>
    <row r="550" spans="1:1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6">
        <v>1278.3599999999999</v>
      </c>
      <c r="O550" s="7" t="str">
        <f t="shared" si="8"/>
        <v>Normal</v>
      </c>
    </row>
    <row r="551" spans="1:1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6">
        <v>2519.52</v>
      </c>
      <c r="O551" s="7" t="str">
        <f t="shared" si="8"/>
        <v>Normal</v>
      </c>
    </row>
    <row r="552" spans="1:1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6">
        <v>915.64</v>
      </c>
      <c r="O552" s="7" t="str">
        <f t="shared" si="8"/>
        <v>Normal</v>
      </c>
    </row>
    <row r="553" spans="1:1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6">
        <v>120.98</v>
      </c>
      <c r="O553" s="7" t="str">
        <f t="shared" si="8"/>
        <v>Normal</v>
      </c>
    </row>
    <row r="554" spans="1:1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6">
        <v>1700.72</v>
      </c>
      <c r="O554" s="7" t="str">
        <f t="shared" si="8"/>
        <v>Normal</v>
      </c>
    </row>
    <row r="555" spans="1:1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6">
        <v>667.66</v>
      </c>
      <c r="O555" s="7" t="str">
        <f t="shared" si="8"/>
        <v>Normal</v>
      </c>
    </row>
    <row r="556" spans="1:1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6">
        <v>985.8</v>
      </c>
      <c r="O556" s="7" t="str">
        <f t="shared" si="8"/>
        <v>Normal</v>
      </c>
    </row>
    <row r="557" spans="1:1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s="3" t="s">
        <v>4283</v>
      </c>
      <c r="M557" t="s">
        <v>4281</v>
      </c>
      <c r="N557" s="6">
        <v>92.04</v>
      </c>
      <c r="O557" s="7" t="str">
        <f t="shared" si="8"/>
        <v>Normal</v>
      </c>
    </row>
    <row r="558" spans="1:1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6">
        <v>654.27</v>
      </c>
      <c r="O558" s="7" t="str">
        <f t="shared" si="8"/>
        <v>Normal</v>
      </c>
    </row>
    <row r="559" spans="1:1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6">
        <v>56.2</v>
      </c>
      <c r="O559" s="7" t="str">
        <f t="shared" si="8"/>
        <v>Normal</v>
      </c>
    </row>
    <row r="560" spans="1:1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6">
        <v>2512.48</v>
      </c>
      <c r="O560" s="7" t="str">
        <f t="shared" si="8"/>
        <v>Normal</v>
      </c>
    </row>
    <row r="561" spans="1:1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6">
        <v>472.2</v>
      </c>
      <c r="O561" s="7" t="str">
        <f t="shared" si="8"/>
        <v>Normal</v>
      </c>
    </row>
    <row r="562" spans="1:1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s="3" t="s">
        <v>4283</v>
      </c>
      <c r="M562" t="s">
        <v>4280</v>
      </c>
      <c r="N562" s="6">
        <v>2355.4</v>
      </c>
      <c r="O562" s="7" t="str">
        <f t="shared" si="8"/>
        <v>Normal</v>
      </c>
    </row>
    <row r="563" spans="1:1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s="3" t="s">
        <v>4283</v>
      </c>
      <c r="M563" t="s">
        <v>4282</v>
      </c>
      <c r="N563" s="6">
        <v>989.56</v>
      </c>
      <c r="O563" s="7" t="str">
        <f t="shared" si="8"/>
        <v>Normal</v>
      </c>
    </row>
    <row r="564" spans="1:1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6">
        <v>1991.79</v>
      </c>
      <c r="O564" s="7" t="str">
        <f t="shared" si="8"/>
        <v>Normal</v>
      </c>
    </row>
    <row r="565" spans="1:1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6">
        <v>132.68</v>
      </c>
      <c r="O565" s="7" t="str">
        <f t="shared" si="8"/>
        <v>Normal</v>
      </c>
    </row>
    <row r="566" spans="1:1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6">
        <v>1821.4</v>
      </c>
      <c r="O566" s="7" t="str">
        <f t="shared" si="8"/>
        <v>Normal</v>
      </c>
    </row>
    <row r="567" spans="1:1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s="3" t="s">
        <v>4283</v>
      </c>
      <c r="M567" t="s">
        <v>4281</v>
      </c>
      <c r="N567" s="6">
        <v>1539.9</v>
      </c>
      <c r="O567" s="7" t="str">
        <f t="shared" si="8"/>
        <v>Normal</v>
      </c>
    </row>
    <row r="568" spans="1:1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6">
        <v>650.84</v>
      </c>
      <c r="O568" s="7" t="str">
        <f t="shared" si="8"/>
        <v>Normal</v>
      </c>
    </row>
    <row r="569" spans="1:1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6">
        <v>2464.6999999999998</v>
      </c>
      <c r="O569" s="7" t="str">
        <f t="shared" si="8"/>
        <v>Normal</v>
      </c>
    </row>
    <row r="570" spans="1:1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s="3" t="s">
        <v>4283</v>
      </c>
      <c r="M570" t="s">
        <v>4282</v>
      </c>
      <c r="N570" s="6">
        <v>687.98</v>
      </c>
      <c r="O570" s="7" t="str">
        <f t="shared" si="8"/>
        <v>Normal</v>
      </c>
    </row>
    <row r="571" spans="1:1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6">
        <v>1253.4000000000001</v>
      </c>
      <c r="O571" s="7" t="str">
        <f t="shared" si="8"/>
        <v>Normal</v>
      </c>
    </row>
    <row r="572" spans="1:1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6">
        <v>724.28</v>
      </c>
      <c r="O572" s="7" t="str">
        <f t="shared" si="8"/>
        <v>Normal</v>
      </c>
    </row>
    <row r="573" spans="1:1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6">
        <v>214.08</v>
      </c>
      <c r="O573" s="7" t="str">
        <f t="shared" si="8"/>
        <v>Normal</v>
      </c>
    </row>
    <row r="574" spans="1:1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6">
        <v>70.319999999999993</v>
      </c>
      <c r="O574" s="7" t="str">
        <f t="shared" si="8"/>
        <v>Normal</v>
      </c>
    </row>
    <row r="575" spans="1:1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s="3" t="s">
        <v>4283</v>
      </c>
      <c r="M575" t="s">
        <v>4278</v>
      </c>
      <c r="N575" s="6">
        <v>2107.1</v>
      </c>
      <c r="O575" s="7" t="str">
        <f t="shared" si="8"/>
        <v>Normal</v>
      </c>
    </row>
    <row r="576" spans="1:1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6">
        <v>1923.45</v>
      </c>
      <c r="O576" s="7" t="str">
        <f t="shared" si="8"/>
        <v>Normal</v>
      </c>
    </row>
    <row r="577" spans="1:1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6">
        <v>2240.75</v>
      </c>
      <c r="O577" s="7" t="str">
        <f t="shared" si="8"/>
        <v>Normal</v>
      </c>
    </row>
    <row r="578" spans="1:1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s="3" t="s">
        <v>4283</v>
      </c>
      <c r="M578" t="s">
        <v>4281</v>
      </c>
      <c r="N578" s="6">
        <v>395.4</v>
      </c>
      <c r="O578" s="7" t="str">
        <f t="shared" si="8"/>
        <v>Normal</v>
      </c>
    </row>
    <row r="579" spans="1:1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6">
        <v>741.64</v>
      </c>
      <c r="O579" s="7" t="str">
        <f t="shared" ref="O579:O642" si="9">IF(OR(N579&lt;-1341.41,N579&gt;3330.41),"Outlier","Normal")</f>
        <v>Normal</v>
      </c>
    </row>
    <row r="580" spans="1:1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6">
        <v>2830.35</v>
      </c>
      <c r="O580" s="7" t="str">
        <f t="shared" si="9"/>
        <v>Normal</v>
      </c>
    </row>
    <row r="581" spans="1:1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6">
        <v>375.76</v>
      </c>
      <c r="O581" s="7" t="str">
        <f t="shared" si="9"/>
        <v>Normal</v>
      </c>
    </row>
    <row r="582" spans="1:1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6">
        <v>511.98</v>
      </c>
      <c r="O582" s="7" t="str">
        <f t="shared" si="9"/>
        <v>Normal</v>
      </c>
    </row>
    <row r="583" spans="1:1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s="3" t="s">
        <v>4283</v>
      </c>
      <c r="M583" t="s">
        <v>4279</v>
      </c>
      <c r="N583" s="6">
        <v>627.34</v>
      </c>
      <c r="O583" s="7" t="str">
        <f t="shared" si="9"/>
        <v>Normal</v>
      </c>
    </row>
    <row r="584" spans="1:1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6">
        <v>1422.42</v>
      </c>
      <c r="O584" s="7" t="str">
        <f t="shared" si="9"/>
        <v>Normal</v>
      </c>
    </row>
    <row r="585" spans="1:1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s="3" t="s">
        <v>4283</v>
      </c>
      <c r="M585" t="s">
        <v>4278</v>
      </c>
      <c r="N585" s="6">
        <v>463.11</v>
      </c>
      <c r="O585" s="7" t="str">
        <f t="shared" si="9"/>
        <v>Normal</v>
      </c>
    </row>
    <row r="586" spans="1:1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6">
        <v>580.20000000000005</v>
      </c>
      <c r="O586" s="7" t="str">
        <f t="shared" si="9"/>
        <v>Normal</v>
      </c>
    </row>
    <row r="587" spans="1:1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6">
        <v>268.32</v>
      </c>
      <c r="O587" s="7" t="str">
        <f t="shared" si="9"/>
        <v>Normal</v>
      </c>
    </row>
    <row r="588" spans="1:1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6">
        <v>522.08000000000004</v>
      </c>
      <c r="O588" s="7" t="str">
        <f t="shared" si="9"/>
        <v>Normal</v>
      </c>
    </row>
    <row r="589" spans="1:1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6">
        <v>2573</v>
      </c>
      <c r="O589" s="7" t="str">
        <f t="shared" si="9"/>
        <v>Normal</v>
      </c>
    </row>
    <row r="590" spans="1:1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s="3" t="s">
        <v>4283</v>
      </c>
      <c r="M590" t="s">
        <v>4282</v>
      </c>
      <c r="N590" s="6">
        <v>2311.2800000000002</v>
      </c>
      <c r="O590" s="7" t="str">
        <f t="shared" si="9"/>
        <v>Normal</v>
      </c>
    </row>
    <row r="591" spans="1:1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6">
        <v>1001.6</v>
      </c>
      <c r="O591" s="7" t="str">
        <f t="shared" si="9"/>
        <v>Normal</v>
      </c>
    </row>
    <row r="592" spans="1:1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s="3" t="s">
        <v>4283</v>
      </c>
      <c r="M592" t="s">
        <v>4280</v>
      </c>
      <c r="N592" s="6">
        <v>922.26</v>
      </c>
      <c r="O592" s="7" t="str">
        <f t="shared" si="9"/>
        <v>Normal</v>
      </c>
    </row>
    <row r="593" spans="1:1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6">
        <v>605.28</v>
      </c>
      <c r="O593" s="7" t="str">
        <f t="shared" si="9"/>
        <v>Normal</v>
      </c>
    </row>
    <row r="594" spans="1:1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s="3" t="s">
        <v>4283</v>
      </c>
      <c r="M594" t="s">
        <v>4282</v>
      </c>
      <c r="N594" s="6">
        <v>612.81000000000006</v>
      </c>
      <c r="O594" s="7" t="str">
        <f t="shared" si="9"/>
        <v>Normal</v>
      </c>
    </row>
    <row r="595" spans="1:1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6">
        <v>489.8</v>
      </c>
      <c r="O595" s="7" t="str">
        <f t="shared" si="9"/>
        <v>Normal</v>
      </c>
    </row>
    <row r="596" spans="1:1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s="3" t="s">
        <v>4283</v>
      </c>
      <c r="M596" t="s">
        <v>4280</v>
      </c>
      <c r="N596" s="6">
        <v>363.2</v>
      </c>
      <c r="O596" s="7" t="str">
        <f t="shared" si="9"/>
        <v>Normal</v>
      </c>
    </row>
    <row r="597" spans="1:1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6">
        <v>770.32</v>
      </c>
      <c r="O597" s="7" t="str">
        <f t="shared" si="9"/>
        <v>Normal</v>
      </c>
    </row>
    <row r="598" spans="1:1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6">
        <v>1819.23</v>
      </c>
      <c r="O598" s="7" t="str">
        <f t="shared" si="9"/>
        <v>Normal</v>
      </c>
    </row>
    <row r="599" spans="1:1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6">
        <v>423.64</v>
      </c>
      <c r="O599" s="7" t="str">
        <f t="shared" si="9"/>
        <v>Normal</v>
      </c>
    </row>
    <row r="600" spans="1:1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s="3" t="s">
        <v>4283</v>
      </c>
      <c r="M600" t="s">
        <v>4281</v>
      </c>
      <c r="N600" s="6">
        <v>2476.75</v>
      </c>
      <c r="O600" s="7" t="str">
        <f t="shared" si="9"/>
        <v>Normal</v>
      </c>
    </row>
    <row r="601" spans="1:1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6">
        <v>1670.97</v>
      </c>
      <c r="O601" s="7" t="str">
        <f t="shared" si="9"/>
        <v>Normal</v>
      </c>
    </row>
    <row r="602" spans="1:1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6">
        <v>72.31</v>
      </c>
      <c r="O602" s="7" t="str">
        <f t="shared" si="9"/>
        <v>Normal</v>
      </c>
    </row>
    <row r="603" spans="1:1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s="3" t="s">
        <v>4283</v>
      </c>
      <c r="M603" t="s">
        <v>4279</v>
      </c>
      <c r="N603" s="6">
        <v>124.1</v>
      </c>
      <c r="O603" s="7" t="str">
        <f t="shared" si="9"/>
        <v>Normal</v>
      </c>
    </row>
    <row r="604" spans="1:1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6">
        <v>104.16</v>
      </c>
      <c r="O604" s="7" t="str">
        <f t="shared" si="9"/>
        <v>Normal</v>
      </c>
    </row>
    <row r="605" spans="1:1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6">
        <v>657.07</v>
      </c>
      <c r="O605" s="7" t="str">
        <f t="shared" si="9"/>
        <v>Normal</v>
      </c>
    </row>
    <row r="606" spans="1:1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s="3" t="s">
        <v>4283</v>
      </c>
      <c r="M606" t="s">
        <v>4281</v>
      </c>
      <c r="N606" s="6">
        <v>97.859999999999985</v>
      </c>
      <c r="O606" s="7" t="str">
        <f t="shared" si="9"/>
        <v>Normal</v>
      </c>
    </row>
    <row r="607" spans="1:1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6">
        <v>457.82</v>
      </c>
      <c r="O607" s="7" t="str">
        <f t="shared" si="9"/>
        <v>Normal</v>
      </c>
    </row>
    <row r="608" spans="1:1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6">
        <v>824.25</v>
      </c>
      <c r="O608" s="7" t="str">
        <f t="shared" si="9"/>
        <v>Normal</v>
      </c>
    </row>
    <row r="609" spans="1:1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6">
        <v>2536.1999999999998</v>
      </c>
      <c r="O609" s="7" t="str">
        <f t="shared" si="9"/>
        <v>Normal</v>
      </c>
    </row>
    <row r="610" spans="1:1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6">
        <v>2715.8</v>
      </c>
      <c r="O610" s="7" t="str">
        <f t="shared" si="9"/>
        <v>Normal</v>
      </c>
    </row>
    <row r="611" spans="1:1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6">
        <v>1347.39</v>
      </c>
      <c r="O611" s="7" t="str">
        <f t="shared" si="9"/>
        <v>Normal</v>
      </c>
    </row>
    <row r="612" spans="1:1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6">
        <v>1948.1</v>
      </c>
      <c r="O612" s="7" t="str">
        <f t="shared" si="9"/>
        <v>Normal</v>
      </c>
    </row>
    <row r="613" spans="1:1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6">
        <v>305.17</v>
      </c>
      <c r="O613" s="7" t="str">
        <f t="shared" si="9"/>
        <v>Normal</v>
      </c>
    </row>
    <row r="614" spans="1:1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s="3" t="s">
        <v>4283</v>
      </c>
      <c r="M614" t="s">
        <v>4282</v>
      </c>
      <c r="N614" s="6">
        <v>1335.36</v>
      </c>
      <c r="O614" s="7" t="str">
        <f t="shared" si="9"/>
        <v>Normal</v>
      </c>
    </row>
    <row r="615" spans="1:1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6">
        <v>460.72</v>
      </c>
      <c r="O615" s="7" t="str">
        <f t="shared" si="9"/>
        <v>Normal</v>
      </c>
    </row>
    <row r="616" spans="1:1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s="3" t="s">
        <v>4283</v>
      </c>
      <c r="M616" t="s">
        <v>4279</v>
      </c>
      <c r="N616" s="6">
        <v>96.81</v>
      </c>
      <c r="O616" s="7" t="str">
        <f t="shared" si="9"/>
        <v>Normal</v>
      </c>
    </row>
    <row r="617" spans="1:1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6">
        <v>2300.6999999999998</v>
      </c>
      <c r="O617" s="7" t="str">
        <f t="shared" si="9"/>
        <v>Normal</v>
      </c>
    </row>
    <row r="618" spans="1:1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6">
        <v>1804.8</v>
      </c>
      <c r="O618" s="7" t="str">
        <f t="shared" si="9"/>
        <v>Normal</v>
      </c>
    </row>
    <row r="619" spans="1:1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s="3" t="s">
        <v>4283</v>
      </c>
      <c r="M619" t="s">
        <v>4279</v>
      </c>
      <c r="N619" s="6">
        <v>553.41</v>
      </c>
      <c r="O619" s="7" t="str">
        <f t="shared" si="9"/>
        <v>Normal</v>
      </c>
    </row>
    <row r="620" spans="1:1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s="3" t="s">
        <v>4283</v>
      </c>
      <c r="M620" t="s">
        <v>4278</v>
      </c>
      <c r="N620" s="6">
        <v>411.34</v>
      </c>
      <c r="O620" s="7" t="str">
        <f t="shared" si="9"/>
        <v>Normal</v>
      </c>
    </row>
    <row r="621" spans="1:1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s="3" t="s">
        <v>4283</v>
      </c>
      <c r="M621" t="s">
        <v>4279</v>
      </c>
      <c r="N621" s="6">
        <v>532.89</v>
      </c>
      <c r="O621" s="7" t="str">
        <f t="shared" si="9"/>
        <v>Normal</v>
      </c>
    </row>
    <row r="622" spans="1:1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6">
        <v>409.02</v>
      </c>
      <c r="O622" s="7" t="str">
        <f t="shared" si="9"/>
        <v>Normal</v>
      </c>
    </row>
    <row r="623" spans="1:1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6">
        <v>2380.0500000000002</v>
      </c>
      <c r="O623" s="7" t="str">
        <f t="shared" si="9"/>
        <v>Normal</v>
      </c>
    </row>
    <row r="624" spans="1:1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s="3" t="s">
        <v>4283</v>
      </c>
      <c r="M624" t="s">
        <v>4281</v>
      </c>
      <c r="N624" s="6">
        <v>1181.9000000000001</v>
      </c>
      <c r="O624" s="7" t="str">
        <f t="shared" si="9"/>
        <v>Normal</v>
      </c>
    </row>
    <row r="625" spans="1:1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6">
        <v>1188</v>
      </c>
      <c r="O625" s="7" t="str">
        <f t="shared" si="9"/>
        <v>Normal</v>
      </c>
    </row>
    <row r="626" spans="1:1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s="3" t="s">
        <v>4283</v>
      </c>
      <c r="M626" t="s">
        <v>4280</v>
      </c>
      <c r="N626" s="6">
        <v>1709.8</v>
      </c>
      <c r="O626" s="7" t="str">
        <f t="shared" si="9"/>
        <v>Normal</v>
      </c>
    </row>
    <row r="627" spans="1:1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6">
        <v>672.89</v>
      </c>
      <c r="O627" s="7" t="str">
        <f t="shared" si="9"/>
        <v>Normal</v>
      </c>
    </row>
    <row r="628" spans="1:1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6">
        <v>1314.96</v>
      </c>
      <c r="O628" s="7" t="str">
        <f t="shared" si="9"/>
        <v>Normal</v>
      </c>
    </row>
    <row r="629" spans="1:1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6">
        <v>1496.04</v>
      </c>
      <c r="O629" s="7" t="str">
        <f t="shared" si="9"/>
        <v>Normal</v>
      </c>
    </row>
    <row r="630" spans="1:1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6">
        <v>2793.15</v>
      </c>
      <c r="O630" s="7" t="str">
        <f t="shared" si="9"/>
        <v>Normal</v>
      </c>
    </row>
    <row r="631" spans="1:1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s="3" t="s">
        <v>4283</v>
      </c>
      <c r="M631" t="s">
        <v>4279</v>
      </c>
      <c r="N631" s="6">
        <v>59.19</v>
      </c>
      <c r="O631" s="7" t="str">
        <f t="shared" si="9"/>
        <v>Normal</v>
      </c>
    </row>
    <row r="632" spans="1:1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s="3" t="s">
        <v>4283</v>
      </c>
      <c r="M632" t="s">
        <v>4278</v>
      </c>
      <c r="N632" s="6">
        <v>1244.2</v>
      </c>
      <c r="O632" s="7" t="str">
        <f t="shared" si="9"/>
        <v>Normal</v>
      </c>
    </row>
    <row r="633" spans="1:1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6">
        <v>138.33000000000001</v>
      </c>
      <c r="O633" s="7" t="str">
        <f t="shared" si="9"/>
        <v>Normal</v>
      </c>
    </row>
    <row r="634" spans="1:1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6">
        <v>3390.8</v>
      </c>
      <c r="O634" s="7" t="str">
        <f t="shared" si="9"/>
        <v>Outlier</v>
      </c>
    </row>
    <row r="635" spans="1:1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6">
        <v>3008.6</v>
      </c>
      <c r="O635" s="7" t="str">
        <f t="shared" si="9"/>
        <v>Normal</v>
      </c>
    </row>
    <row r="636" spans="1:1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6">
        <v>518.64</v>
      </c>
      <c r="O636" s="7" t="str">
        <f t="shared" si="9"/>
        <v>Normal</v>
      </c>
    </row>
    <row r="637" spans="1:1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s="3" t="s">
        <v>4283</v>
      </c>
      <c r="M637" t="s">
        <v>4281</v>
      </c>
      <c r="N637" s="6">
        <v>191.04</v>
      </c>
      <c r="O637" s="7" t="str">
        <f t="shared" si="9"/>
        <v>Normal</v>
      </c>
    </row>
    <row r="638" spans="1:1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6">
        <v>1484.28</v>
      </c>
      <c r="O638" s="7" t="str">
        <f t="shared" si="9"/>
        <v>Normal</v>
      </c>
    </row>
    <row r="639" spans="1:1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6">
        <v>1225.4000000000001</v>
      </c>
      <c r="O639" s="7" t="str">
        <f t="shared" si="9"/>
        <v>Normal</v>
      </c>
    </row>
    <row r="640" spans="1:1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6">
        <v>2313.08</v>
      </c>
      <c r="O640" s="7" t="str">
        <f t="shared" si="9"/>
        <v>Normal</v>
      </c>
    </row>
    <row r="641" spans="1:1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s="3" t="s">
        <v>4283</v>
      </c>
      <c r="M641" t="s">
        <v>4279</v>
      </c>
      <c r="N641" s="6">
        <v>529.19000000000005</v>
      </c>
      <c r="O641" s="7" t="str">
        <f t="shared" si="9"/>
        <v>Normal</v>
      </c>
    </row>
    <row r="642" spans="1:1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6">
        <v>1174.98</v>
      </c>
      <c r="O642" s="7" t="str">
        <f t="shared" si="9"/>
        <v>Normal</v>
      </c>
    </row>
    <row r="643" spans="1:1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6">
        <v>2270.2800000000002</v>
      </c>
      <c r="O643" s="7" t="str">
        <f t="shared" ref="O643:O706" si="10">IF(OR(N643&lt;-1341.41,N643&gt;3330.41),"Outlier","Normal")</f>
        <v>Normal</v>
      </c>
    </row>
    <row r="644" spans="1:1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6">
        <v>426.1</v>
      </c>
      <c r="O644" s="7" t="str">
        <f t="shared" si="10"/>
        <v>Normal</v>
      </c>
    </row>
    <row r="645" spans="1:1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6">
        <v>438.37</v>
      </c>
      <c r="O645" s="7" t="str">
        <f t="shared" si="10"/>
        <v>Normal</v>
      </c>
    </row>
    <row r="646" spans="1:1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6">
        <v>732.46</v>
      </c>
      <c r="O646" s="7" t="str">
        <f t="shared" si="10"/>
        <v>Normal</v>
      </c>
    </row>
    <row r="647" spans="1:1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6">
        <v>300.10000000000002</v>
      </c>
      <c r="O647" s="7" t="str">
        <f t="shared" si="10"/>
        <v>Normal</v>
      </c>
    </row>
    <row r="648" spans="1:1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6">
        <v>1994.04</v>
      </c>
      <c r="O648" s="7" t="str">
        <f t="shared" si="10"/>
        <v>Normal</v>
      </c>
    </row>
    <row r="649" spans="1:1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6">
        <v>1018.17</v>
      </c>
      <c r="O649" s="7" t="str">
        <f t="shared" si="10"/>
        <v>Normal</v>
      </c>
    </row>
    <row r="650" spans="1:1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6">
        <v>1151.6600000000001</v>
      </c>
      <c r="O650" s="7" t="str">
        <f t="shared" si="10"/>
        <v>Normal</v>
      </c>
    </row>
    <row r="651" spans="1:1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6">
        <v>1285.96</v>
      </c>
      <c r="O651" s="7" t="str">
        <f t="shared" si="10"/>
        <v>Normal</v>
      </c>
    </row>
    <row r="652" spans="1:1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6">
        <v>744.46</v>
      </c>
      <c r="O652" s="7" t="str">
        <f t="shared" si="10"/>
        <v>Normal</v>
      </c>
    </row>
    <row r="653" spans="1:1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s="3" t="s">
        <v>4283</v>
      </c>
      <c r="M653" t="s">
        <v>4282</v>
      </c>
      <c r="N653" s="6">
        <v>1939.02</v>
      </c>
      <c r="O653" s="7" t="str">
        <f t="shared" si="10"/>
        <v>Normal</v>
      </c>
    </row>
    <row r="654" spans="1:1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6">
        <v>1709.2</v>
      </c>
      <c r="O654" s="7" t="str">
        <f t="shared" si="10"/>
        <v>Normal</v>
      </c>
    </row>
    <row r="655" spans="1:1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6">
        <v>2070.9</v>
      </c>
      <c r="O655" s="7" t="str">
        <f t="shared" si="10"/>
        <v>Normal</v>
      </c>
    </row>
    <row r="656" spans="1:1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s="3" t="s">
        <v>4283</v>
      </c>
      <c r="M656" t="s">
        <v>4278</v>
      </c>
      <c r="N656" s="6">
        <v>1147.1099999999999</v>
      </c>
      <c r="O656" s="7" t="str">
        <f t="shared" si="10"/>
        <v>Normal</v>
      </c>
    </row>
    <row r="657" spans="1:1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6">
        <v>265.2</v>
      </c>
      <c r="O657" s="7" t="str">
        <f t="shared" si="10"/>
        <v>Normal</v>
      </c>
    </row>
    <row r="658" spans="1:1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6">
        <v>378.12</v>
      </c>
      <c r="O658" s="7" t="str">
        <f t="shared" si="10"/>
        <v>Normal</v>
      </c>
    </row>
    <row r="659" spans="1:1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6">
        <v>351.16</v>
      </c>
      <c r="O659" s="7" t="str">
        <f t="shared" si="10"/>
        <v>Normal</v>
      </c>
    </row>
    <row r="660" spans="1:1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6">
        <v>92.72</v>
      </c>
      <c r="O660" s="7" t="str">
        <f t="shared" si="10"/>
        <v>Normal</v>
      </c>
    </row>
    <row r="661" spans="1:1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6">
        <v>1284.08</v>
      </c>
      <c r="O661" s="7" t="str">
        <f t="shared" si="10"/>
        <v>Normal</v>
      </c>
    </row>
    <row r="662" spans="1:1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6">
        <v>1303.1400000000001</v>
      </c>
      <c r="O662" s="7" t="str">
        <f t="shared" si="10"/>
        <v>Normal</v>
      </c>
    </row>
    <row r="663" spans="1:1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6">
        <v>1274.67</v>
      </c>
      <c r="O663" s="7" t="str">
        <f t="shared" si="10"/>
        <v>Normal</v>
      </c>
    </row>
    <row r="664" spans="1:1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s="3" t="s">
        <v>4283</v>
      </c>
      <c r="M664" t="s">
        <v>4281</v>
      </c>
      <c r="N664" s="6">
        <v>1316.67</v>
      </c>
      <c r="O664" s="7" t="str">
        <f t="shared" si="10"/>
        <v>Normal</v>
      </c>
    </row>
    <row r="665" spans="1:1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6">
        <v>72.599999999999994</v>
      </c>
      <c r="O665" s="7" t="str">
        <f t="shared" si="10"/>
        <v>Normal</v>
      </c>
    </row>
    <row r="666" spans="1:1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s="3" t="s">
        <v>4283</v>
      </c>
      <c r="M666" t="s">
        <v>4281</v>
      </c>
      <c r="N666" s="6">
        <v>779</v>
      </c>
      <c r="O666" s="7" t="str">
        <f t="shared" si="10"/>
        <v>Normal</v>
      </c>
    </row>
    <row r="667" spans="1:1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6">
        <v>925.04</v>
      </c>
      <c r="O667" s="7" t="str">
        <f t="shared" si="10"/>
        <v>Normal</v>
      </c>
    </row>
    <row r="668" spans="1:1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s="3" t="s">
        <v>4283</v>
      </c>
      <c r="M668" t="s">
        <v>4280</v>
      </c>
      <c r="N668" s="6">
        <v>1308.48</v>
      </c>
      <c r="O668" s="7" t="str">
        <f t="shared" si="10"/>
        <v>Normal</v>
      </c>
    </row>
    <row r="669" spans="1:1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6">
        <v>466.42</v>
      </c>
      <c r="O669" s="7" t="str">
        <f t="shared" si="10"/>
        <v>Normal</v>
      </c>
    </row>
    <row r="670" spans="1:1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6">
        <v>507.34</v>
      </c>
      <c r="O670" s="7" t="str">
        <f t="shared" si="10"/>
        <v>Normal</v>
      </c>
    </row>
    <row r="671" spans="1:1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s="3" t="s">
        <v>4283</v>
      </c>
      <c r="M671" t="s">
        <v>4279</v>
      </c>
      <c r="N671" s="6">
        <v>257</v>
      </c>
      <c r="O671" s="7" t="str">
        <f t="shared" si="10"/>
        <v>Normal</v>
      </c>
    </row>
    <row r="672" spans="1:1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6">
        <v>2156.8000000000002</v>
      </c>
      <c r="O672" s="7" t="str">
        <f t="shared" si="10"/>
        <v>Normal</v>
      </c>
    </row>
    <row r="673" spans="1:1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6">
        <v>253.7</v>
      </c>
      <c r="O673" s="7" t="str">
        <f t="shared" si="10"/>
        <v>Normal</v>
      </c>
    </row>
    <row r="674" spans="1:1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6">
        <v>1248.32</v>
      </c>
      <c r="O674" s="7" t="str">
        <f t="shared" si="10"/>
        <v>Normal</v>
      </c>
    </row>
    <row r="675" spans="1:1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6">
        <v>745.84</v>
      </c>
      <c r="O675" s="7" t="str">
        <f t="shared" si="10"/>
        <v>Normal</v>
      </c>
    </row>
    <row r="676" spans="1:1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6">
        <v>1435</v>
      </c>
      <c r="O676" s="7" t="str">
        <f t="shared" si="10"/>
        <v>Normal</v>
      </c>
    </row>
    <row r="677" spans="1:1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s="3" t="s">
        <v>4283</v>
      </c>
      <c r="M677" t="s">
        <v>4280</v>
      </c>
      <c r="N677" s="6">
        <v>1026.06</v>
      </c>
      <c r="O677" s="7" t="str">
        <f t="shared" si="10"/>
        <v>Normal</v>
      </c>
    </row>
    <row r="678" spans="1:1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6">
        <v>844.68</v>
      </c>
      <c r="O678" s="7" t="str">
        <f t="shared" si="10"/>
        <v>Normal</v>
      </c>
    </row>
    <row r="679" spans="1:1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6">
        <v>110.35</v>
      </c>
      <c r="O679" s="7" t="str">
        <f t="shared" si="10"/>
        <v>Normal</v>
      </c>
    </row>
    <row r="680" spans="1:1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6">
        <v>489.39</v>
      </c>
      <c r="O680" s="7" t="str">
        <f t="shared" si="10"/>
        <v>Normal</v>
      </c>
    </row>
    <row r="681" spans="1:1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6">
        <v>1081.98</v>
      </c>
      <c r="O681" s="7" t="str">
        <f t="shared" si="10"/>
        <v>Normal</v>
      </c>
    </row>
    <row r="682" spans="1:1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s="3" t="s">
        <v>4283</v>
      </c>
      <c r="M682" t="s">
        <v>4281</v>
      </c>
      <c r="N682" s="6">
        <v>1390.17</v>
      </c>
      <c r="O682" s="7" t="str">
        <f t="shared" si="10"/>
        <v>Normal</v>
      </c>
    </row>
    <row r="683" spans="1:1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s="3" t="s">
        <v>4283</v>
      </c>
      <c r="M683" t="s">
        <v>4280</v>
      </c>
      <c r="N683" s="6">
        <v>155.27000000000001</v>
      </c>
      <c r="O683" s="7" t="str">
        <f t="shared" si="10"/>
        <v>Normal</v>
      </c>
    </row>
    <row r="684" spans="1:1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6">
        <v>1528.26</v>
      </c>
      <c r="O684" s="7" t="str">
        <f t="shared" si="10"/>
        <v>Normal</v>
      </c>
    </row>
    <row r="685" spans="1:1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6">
        <v>2609.92</v>
      </c>
      <c r="O685" s="7" t="str">
        <f t="shared" si="10"/>
        <v>Normal</v>
      </c>
    </row>
    <row r="686" spans="1:1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s="3" t="s">
        <v>4283</v>
      </c>
      <c r="M686" t="s">
        <v>4280</v>
      </c>
      <c r="N686" s="6">
        <v>139.36000000000001</v>
      </c>
      <c r="O686" s="7" t="str">
        <f t="shared" si="10"/>
        <v>Normal</v>
      </c>
    </row>
    <row r="687" spans="1:1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6">
        <v>234.37</v>
      </c>
      <c r="O687" s="7" t="str">
        <f t="shared" si="10"/>
        <v>Normal</v>
      </c>
    </row>
    <row r="688" spans="1:1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6">
        <v>160.80000000000001</v>
      </c>
      <c r="O688" s="7" t="str">
        <f t="shared" si="10"/>
        <v>Normal</v>
      </c>
    </row>
    <row r="689" spans="1:1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6">
        <v>332.09</v>
      </c>
      <c r="O689" s="7" t="str">
        <f t="shared" si="10"/>
        <v>Normal</v>
      </c>
    </row>
    <row r="690" spans="1:1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6">
        <v>2372.88</v>
      </c>
      <c r="O690" s="7" t="str">
        <f t="shared" si="10"/>
        <v>Normal</v>
      </c>
    </row>
    <row r="691" spans="1:1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s="3" t="s">
        <v>4283</v>
      </c>
      <c r="M691" t="s">
        <v>4281</v>
      </c>
      <c r="N691" s="6">
        <v>889.68</v>
      </c>
      <c r="O691" s="7" t="str">
        <f t="shared" si="10"/>
        <v>Normal</v>
      </c>
    </row>
    <row r="692" spans="1:1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s="3" t="s">
        <v>4283</v>
      </c>
      <c r="M692" t="s">
        <v>4278</v>
      </c>
      <c r="N692" s="6">
        <v>24.48</v>
      </c>
      <c r="O692" s="7" t="str">
        <f t="shared" si="10"/>
        <v>Normal</v>
      </c>
    </row>
    <row r="693" spans="1:1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s="3" t="s">
        <v>4283</v>
      </c>
      <c r="M693" t="s">
        <v>4282</v>
      </c>
      <c r="N693" s="6">
        <v>717.24</v>
      </c>
      <c r="O693" s="7" t="str">
        <f t="shared" si="10"/>
        <v>Normal</v>
      </c>
    </row>
    <row r="694" spans="1:1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6">
        <v>984.2</v>
      </c>
      <c r="O694" s="7" t="str">
        <f t="shared" si="10"/>
        <v>Normal</v>
      </c>
    </row>
    <row r="695" spans="1:1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s="3" t="s">
        <v>4283</v>
      </c>
      <c r="M695" t="s">
        <v>4279</v>
      </c>
      <c r="N695" s="6">
        <v>176.58</v>
      </c>
      <c r="O695" s="7" t="str">
        <f t="shared" si="10"/>
        <v>Normal</v>
      </c>
    </row>
    <row r="696" spans="1:1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6">
        <v>2666.08</v>
      </c>
      <c r="O696" s="7" t="str">
        <f t="shared" si="10"/>
        <v>Normal</v>
      </c>
    </row>
    <row r="697" spans="1:1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6">
        <v>506.5</v>
      </c>
      <c r="O697" s="7" t="str">
        <f t="shared" si="10"/>
        <v>Normal</v>
      </c>
    </row>
    <row r="698" spans="1:1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6">
        <v>604.79999999999995</v>
      </c>
      <c r="O698" s="7" t="str">
        <f t="shared" si="10"/>
        <v>Normal</v>
      </c>
    </row>
    <row r="699" spans="1:1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6">
        <v>474.25</v>
      </c>
      <c r="O699" s="7" t="str">
        <f t="shared" si="10"/>
        <v>Normal</v>
      </c>
    </row>
    <row r="700" spans="1:1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6">
        <v>776.44</v>
      </c>
      <c r="O700" s="7" t="str">
        <f t="shared" si="10"/>
        <v>Normal</v>
      </c>
    </row>
    <row r="701" spans="1:1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s="3" t="s">
        <v>4283</v>
      </c>
      <c r="M701" t="s">
        <v>4281</v>
      </c>
      <c r="N701" s="6">
        <v>1842.45</v>
      </c>
      <c r="O701" s="7" t="str">
        <f t="shared" si="10"/>
        <v>Normal</v>
      </c>
    </row>
    <row r="702" spans="1:1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6">
        <v>185.82</v>
      </c>
      <c r="O702" s="7" t="str">
        <f t="shared" si="10"/>
        <v>Normal</v>
      </c>
    </row>
    <row r="703" spans="1:1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6">
        <v>276.66000000000003</v>
      </c>
      <c r="O703" s="7" t="str">
        <f t="shared" si="10"/>
        <v>Normal</v>
      </c>
    </row>
    <row r="704" spans="1:1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s="3" t="s">
        <v>4283</v>
      </c>
      <c r="M704" t="s">
        <v>4280</v>
      </c>
      <c r="N704" s="6">
        <v>1687.65</v>
      </c>
      <c r="O704" s="7" t="str">
        <f t="shared" si="10"/>
        <v>Normal</v>
      </c>
    </row>
    <row r="705" spans="1:1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6">
        <v>92.79</v>
      </c>
      <c r="O705" s="7" t="str">
        <f t="shared" si="10"/>
        <v>Normal</v>
      </c>
    </row>
    <row r="706" spans="1:1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6">
        <v>121.08</v>
      </c>
      <c r="O706" s="7" t="str">
        <f t="shared" si="10"/>
        <v>Normal</v>
      </c>
    </row>
    <row r="707" spans="1:1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6">
        <v>98.16</v>
      </c>
      <c r="O707" s="7" t="str">
        <f t="shared" ref="O707:O770" si="11">IF(OR(N707&lt;-1341.41,N707&gt;3330.41),"Outlier","Normal")</f>
        <v>Normal</v>
      </c>
    </row>
    <row r="708" spans="1:1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6">
        <v>1140.45</v>
      </c>
      <c r="O708" s="7" t="str">
        <f t="shared" si="11"/>
        <v>Normal</v>
      </c>
    </row>
    <row r="709" spans="1:1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6">
        <v>2600.16</v>
      </c>
      <c r="O709" s="7" t="str">
        <f t="shared" si="11"/>
        <v>Normal</v>
      </c>
    </row>
    <row r="710" spans="1:1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6">
        <v>665.11</v>
      </c>
      <c r="O710" s="7" t="str">
        <f t="shared" si="11"/>
        <v>Normal</v>
      </c>
    </row>
    <row r="711" spans="1:1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6">
        <v>386.03</v>
      </c>
      <c r="O711" s="7" t="str">
        <f t="shared" si="11"/>
        <v>Normal</v>
      </c>
    </row>
    <row r="712" spans="1:1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s="3" t="s">
        <v>4283</v>
      </c>
      <c r="M712" t="s">
        <v>4282</v>
      </c>
      <c r="N712" s="6">
        <v>107.7</v>
      </c>
      <c r="O712" s="7" t="str">
        <f t="shared" si="11"/>
        <v>Normal</v>
      </c>
    </row>
    <row r="713" spans="1:1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6">
        <v>951.56</v>
      </c>
      <c r="O713" s="7" t="str">
        <f t="shared" si="11"/>
        <v>Normal</v>
      </c>
    </row>
    <row r="714" spans="1:1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6">
        <v>136.80000000000001</v>
      </c>
      <c r="O714" s="7" t="str">
        <f t="shared" si="11"/>
        <v>Normal</v>
      </c>
    </row>
    <row r="715" spans="1:1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6">
        <v>2129.96</v>
      </c>
      <c r="O715" s="7" t="str">
        <f t="shared" si="11"/>
        <v>Normal</v>
      </c>
    </row>
    <row r="716" spans="1:1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6">
        <v>51.73</v>
      </c>
      <c r="O716" s="7" t="str">
        <f t="shared" si="11"/>
        <v>Normal</v>
      </c>
    </row>
    <row r="717" spans="1:1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6">
        <v>1960.89</v>
      </c>
      <c r="O717" s="7" t="str">
        <f t="shared" si="11"/>
        <v>Normal</v>
      </c>
    </row>
    <row r="718" spans="1:1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6">
        <v>1362.87</v>
      </c>
      <c r="O718" s="7" t="str">
        <f t="shared" si="11"/>
        <v>Normal</v>
      </c>
    </row>
    <row r="719" spans="1:1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6">
        <v>366.33</v>
      </c>
      <c r="O719" s="7" t="str">
        <f t="shared" si="11"/>
        <v>Normal</v>
      </c>
    </row>
    <row r="720" spans="1:1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6">
        <v>258.95999999999998</v>
      </c>
      <c r="O720" s="7" t="str">
        <f t="shared" si="11"/>
        <v>Normal</v>
      </c>
    </row>
    <row r="721" spans="1:1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6">
        <v>1362.12</v>
      </c>
      <c r="O721" s="7" t="str">
        <f t="shared" si="11"/>
        <v>Normal</v>
      </c>
    </row>
    <row r="722" spans="1:1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6">
        <v>644.75</v>
      </c>
      <c r="O722" s="7" t="str">
        <f t="shared" si="11"/>
        <v>Normal</v>
      </c>
    </row>
    <row r="723" spans="1:1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s="3" t="s">
        <v>4283</v>
      </c>
      <c r="M723" t="s">
        <v>4280</v>
      </c>
      <c r="N723" s="6">
        <v>237.18</v>
      </c>
      <c r="O723" s="7" t="str">
        <f t="shared" si="11"/>
        <v>Normal</v>
      </c>
    </row>
    <row r="724" spans="1:1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6">
        <v>95.1</v>
      </c>
      <c r="O724" s="7" t="str">
        <f t="shared" si="11"/>
        <v>Normal</v>
      </c>
    </row>
    <row r="725" spans="1:1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6">
        <v>164.85</v>
      </c>
      <c r="O725" s="7" t="str">
        <f t="shared" si="11"/>
        <v>Normal</v>
      </c>
    </row>
    <row r="726" spans="1:1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6">
        <v>410.91</v>
      </c>
      <c r="O726" s="7" t="str">
        <f t="shared" si="11"/>
        <v>Normal</v>
      </c>
    </row>
    <row r="727" spans="1:1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s="3" t="s">
        <v>4283</v>
      </c>
      <c r="M727" t="s">
        <v>4279</v>
      </c>
      <c r="N727" s="6">
        <v>389.7</v>
      </c>
      <c r="O727" s="7" t="str">
        <f t="shared" si="11"/>
        <v>Normal</v>
      </c>
    </row>
    <row r="728" spans="1:1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6">
        <v>2332.08</v>
      </c>
      <c r="O728" s="7" t="str">
        <f t="shared" si="11"/>
        <v>Normal</v>
      </c>
    </row>
    <row r="729" spans="1:1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6">
        <v>478.75</v>
      </c>
      <c r="O729" s="7" t="str">
        <f t="shared" si="11"/>
        <v>Normal</v>
      </c>
    </row>
    <row r="730" spans="1:1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6">
        <v>1303.04</v>
      </c>
      <c r="O730" s="7" t="str">
        <f t="shared" si="11"/>
        <v>Normal</v>
      </c>
    </row>
    <row r="731" spans="1:1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6">
        <v>745.64</v>
      </c>
      <c r="O731" s="7" t="str">
        <f t="shared" si="11"/>
        <v>Normal</v>
      </c>
    </row>
    <row r="732" spans="1:1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6">
        <v>474.6</v>
      </c>
      <c r="O732" s="7" t="str">
        <f t="shared" si="11"/>
        <v>Normal</v>
      </c>
    </row>
    <row r="733" spans="1:1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s="3" t="s">
        <v>4283</v>
      </c>
      <c r="M733" t="s">
        <v>4280</v>
      </c>
      <c r="N733" s="6">
        <v>2922.3</v>
      </c>
      <c r="O733" s="7" t="str">
        <f t="shared" si="11"/>
        <v>Normal</v>
      </c>
    </row>
    <row r="734" spans="1:1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s="3" t="s">
        <v>4283</v>
      </c>
      <c r="M734" t="s">
        <v>4282</v>
      </c>
      <c r="N734" s="6">
        <v>132.05000000000001</v>
      </c>
      <c r="O734" s="7" t="str">
        <f t="shared" si="11"/>
        <v>Normal</v>
      </c>
    </row>
    <row r="735" spans="1:1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6">
        <v>1979.36</v>
      </c>
      <c r="O735" s="7" t="str">
        <f t="shared" si="11"/>
        <v>Normal</v>
      </c>
    </row>
    <row r="736" spans="1:1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6">
        <v>898.44</v>
      </c>
      <c r="O736" s="7" t="str">
        <f t="shared" si="11"/>
        <v>Normal</v>
      </c>
    </row>
    <row r="737" spans="1:1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s="3" t="s">
        <v>4283</v>
      </c>
      <c r="M737" t="s">
        <v>4280</v>
      </c>
      <c r="N737" s="6">
        <v>176.28</v>
      </c>
      <c r="O737" s="7" t="str">
        <f t="shared" si="11"/>
        <v>Normal</v>
      </c>
    </row>
    <row r="738" spans="1:1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6">
        <v>2092.65</v>
      </c>
      <c r="O738" s="7" t="str">
        <f t="shared" si="11"/>
        <v>Normal</v>
      </c>
    </row>
    <row r="739" spans="1:1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6">
        <v>2131.48</v>
      </c>
      <c r="O739" s="7" t="str">
        <f t="shared" si="11"/>
        <v>Normal</v>
      </c>
    </row>
    <row r="740" spans="1:1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6">
        <v>970.74</v>
      </c>
      <c r="O740" s="7" t="str">
        <f t="shared" si="11"/>
        <v>Normal</v>
      </c>
    </row>
    <row r="741" spans="1:1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6">
        <v>1546.92</v>
      </c>
      <c r="O741" s="7" t="str">
        <f t="shared" si="11"/>
        <v>Normal</v>
      </c>
    </row>
    <row r="742" spans="1:1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s="3" t="s">
        <v>4283</v>
      </c>
      <c r="M742" t="s">
        <v>4282</v>
      </c>
      <c r="N742" s="6">
        <v>754.94</v>
      </c>
      <c r="O742" s="7" t="str">
        <f t="shared" si="11"/>
        <v>Normal</v>
      </c>
    </row>
    <row r="743" spans="1:1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s="3" t="s">
        <v>4283</v>
      </c>
      <c r="M743" t="s">
        <v>4279</v>
      </c>
      <c r="N743" s="6">
        <v>1663.2</v>
      </c>
      <c r="O743" s="7" t="str">
        <f t="shared" si="11"/>
        <v>Normal</v>
      </c>
    </row>
    <row r="744" spans="1:1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6">
        <v>2099.79</v>
      </c>
      <c r="O744" s="7" t="str">
        <f t="shared" si="11"/>
        <v>Normal</v>
      </c>
    </row>
    <row r="745" spans="1:1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6">
        <v>576.35</v>
      </c>
      <c r="O745" s="7" t="str">
        <f t="shared" si="11"/>
        <v>Normal</v>
      </c>
    </row>
    <row r="746" spans="1:1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6">
        <v>922.74</v>
      </c>
      <c r="O746" s="7" t="str">
        <f t="shared" si="11"/>
        <v>Normal</v>
      </c>
    </row>
    <row r="747" spans="1:1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6">
        <v>445.2</v>
      </c>
      <c r="O747" s="7" t="str">
        <f t="shared" si="11"/>
        <v>Normal</v>
      </c>
    </row>
    <row r="748" spans="1:1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6">
        <v>1985.67</v>
      </c>
      <c r="O748" s="7" t="str">
        <f t="shared" si="11"/>
        <v>Normal</v>
      </c>
    </row>
    <row r="749" spans="1:1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6">
        <v>519.16</v>
      </c>
      <c r="O749" s="7" t="str">
        <f t="shared" si="11"/>
        <v>Normal</v>
      </c>
    </row>
    <row r="750" spans="1:1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6">
        <v>212.43</v>
      </c>
      <c r="O750" s="7" t="str">
        <f t="shared" si="11"/>
        <v>Normal</v>
      </c>
    </row>
    <row r="751" spans="1:1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6">
        <v>518.39</v>
      </c>
      <c r="O751" s="7" t="str">
        <f t="shared" si="11"/>
        <v>Normal</v>
      </c>
    </row>
    <row r="752" spans="1:1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6">
        <v>581.64</v>
      </c>
      <c r="O752" s="7" t="str">
        <f t="shared" si="11"/>
        <v>Normal</v>
      </c>
    </row>
    <row r="753" spans="1:1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6">
        <v>1199.72</v>
      </c>
      <c r="O753" s="7" t="str">
        <f t="shared" si="11"/>
        <v>Normal</v>
      </c>
    </row>
    <row r="754" spans="1:1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6">
        <v>1717.48</v>
      </c>
      <c r="O754" s="7" t="str">
        <f t="shared" si="11"/>
        <v>Normal</v>
      </c>
    </row>
    <row r="755" spans="1:1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6">
        <v>482.98</v>
      </c>
      <c r="O755" s="7" t="str">
        <f t="shared" si="11"/>
        <v>Normal</v>
      </c>
    </row>
    <row r="756" spans="1:1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6">
        <v>904.1</v>
      </c>
      <c r="O756" s="7" t="str">
        <f t="shared" si="11"/>
        <v>Normal</v>
      </c>
    </row>
    <row r="757" spans="1:1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s="3" t="s">
        <v>4283</v>
      </c>
      <c r="M757" t="s">
        <v>4280</v>
      </c>
      <c r="N757" s="6">
        <v>1010.13</v>
      </c>
      <c r="O757" s="7" t="str">
        <f t="shared" si="11"/>
        <v>Normal</v>
      </c>
    </row>
    <row r="758" spans="1:1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s="3" t="s">
        <v>4283</v>
      </c>
      <c r="M758" t="s">
        <v>4282</v>
      </c>
      <c r="N758" s="6">
        <v>283.69</v>
      </c>
      <c r="O758" s="7" t="str">
        <f t="shared" si="11"/>
        <v>Normal</v>
      </c>
    </row>
    <row r="759" spans="1:1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6">
        <v>157.72</v>
      </c>
      <c r="O759" s="7" t="str">
        <f t="shared" si="11"/>
        <v>Normal</v>
      </c>
    </row>
    <row r="760" spans="1:1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6">
        <v>1874.52</v>
      </c>
      <c r="O760" s="7" t="str">
        <f t="shared" si="11"/>
        <v>Normal</v>
      </c>
    </row>
    <row r="761" spans="1:1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6">
        <v>924.03</v>
      </c>
      <c r="O761" s="7" t="str">
        <f t="shared" si="11"/>
        <v>Normal</v>
      </c>
    </row>
    <row r="762" spans="1:1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s="3" t="s">
        <v>4283</v>
      </c>
      <c r="M762" t="s">
        <v>4282</v>
      </c>
      <c r="N762" s="6">
        <v>39.56</v>
      </c>
      <c r="O762" s="7" t="str">
        <f t="shared" si="11"/>
        <v>Normal</v>
      </c>
    </row>
    <row r="763" spans="1:1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s="3" t="s">
        <v>4283</v>
      </c>
      <c r="M763" t="s">
        <v>4282</v>
      </c>
      <c r="N763" s="6">
        <v>151.04</v>
      </c>
      <c r="O763" s="7" t="str">
        <f t="shared" si="11"/>
        <v>Normal</v>
      </c>
    </row>
    <row r="764" spans="1:1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6">
        <v>230.88</v>
      </c>
      <c r="O764" s="7" t="str">
        <f t="shared" si="11"/>
        <v>Normal</v>
      </c>
    </row>
    <row r="765" spans="1:1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6">
        <v>569.96</v>
      </c>
      <c r="O765" s="7" t="str">
        <f t="shared" si="11"/>
        <v>Normal</v>
      </c>
    </row>
    <row r="766" spans="1:1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6">
        <v>3137.15</v>
      </c>
      <c r="O766" s="7" t="str">
        <f t="shared" si="11"/>
        <v>Normal</v>
      </c>
    </row>
    <row r="767" spans="1:1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6">
        <v>1069.82</v>
      </c>
      <c r="O767" s="7" t="str">
        <f t="shared" si="11"/>
        <v>Normal</v>
      </c>
    </row>
    <row r="768" spans="1:1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6">
        <v>557.76</v>
      </c>
      <c r="O768" s="7" t="str">
        <f t="shared" si="11"/>
        <v>Normal</v>
      </c>
    </row>
    <row r="769" spans="1:1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s="3" t="s">
        <v>4283</v>
      </c>
      <c r="M769" t="s">
        <v>4278</v>
      </c>
      <c r="N769" s="6">
        <v>646.44000000000005</v>
      </c>
      <c r="O769" s="7" t="str">
        <f t="shared" si="11"/>
        <v>Normal</v>
      </c>
    </row>
    <row r="770" spans="1:1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6">
        <v>3267.3</v>
      </c>
      <c r="O770" s="7" t="str">
        <f t="shared" si="11"/>
        <v>Normal</v>
      </c>
    </row>
    <row r="771" spans="1:1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s="3" t="s">
        <v>4283</v>
      </c>
      <c r="M771" t="s">
        <v>4280</v>
      </c>
      <c r="N771" s="6">
        <v>2714.2</v>
      </c>
      <c r="O771" s="7" t="str">
        <f t="shared" ref="O771:O834" si="12">IF(OR(N771&lt;-1341.41,N771&gt;3330.41),"Outlier","Normal")</f>
        <v>Normal</v>
      </c>
    </row>
    <row r="772" spans="1:1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s="3" t="s">
        <v>4283</v>
      </c>
      <c r="M772" t="s">
        <v>4282</v>
      </c>
      <c r="N772" s="6">
        <v>314.38</v>
      </c>
      <c r="O772" s="7" t="str">
        <f t="shared" si="12"/>
        <v>Normal</v>
      </c>
    </row>
    <row r="773" spans="1:1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6">
        <v>2077.3200000000002</v>
      </c>
      <c r="O773" s="7" t="str">
        <f t="shared" si="12"/>
        <v>Normal</v>
      </c>
    </row>
    <row r="774" spans="1:1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s="3" t="s">
        <v>4283</v>
      </c>
      <c r="M774" t="s">
        <v>4278</v>
      </c>
      <c r="N774" s="6">
        <v>604.87</v>
      </c>
      <c r="O774" s="7" t="str">
        <f t="shared" si="12"/>
        <v>Normal</v>
      </c>
    </row>
    <row r="775" spans="1:1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s="3" t="s">
        <v>4283</v>
      </c>
      <c r="M775" t="s">
        <v>4281</v>
      </c>
      <c r="N775" s="6">
        <v>1024.6600000000001</v>
      </c>
      <c r="O775" s="7" t="str">
        <f t="shared" si="12"/>
        <v>Normal</v>
      </c>
    </row>
    <row r="776" spans="1:1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6">
        <v>61.62</v>
      </c>
      <c r="O776" s="7" t="str">
        <f t="shared" si="12"/>
        <v>Normal</v>
      </c>
    </row>
    <row r="777" spans="1:1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s="3" t="s">
        <v>4283</v>
      </c>
      <c r="M777" t="s">
        <v>4282</v>
      </c>
      <c r="N777" s="6">
        <v>1250.44</v>
      </c>
      <c r="O777" s="7" t="str">
        <f t="shared" si="12"/>
        <v>Normal</v>
      </c>
    </row>
    <row r="778" spans="1:1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6">
        <v>21.19</v>
      </c>
      <c r="O778" s="7" t="str">
        <f t="shared" si="12"/>
        <v>Normal</v>
      </c>
    </row>
    <row r="779" spans="1:1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s="3" t="s">
        <v>4283</v>
      </c>
      <c r="M779" t="s">
        <v>4281</v>
      </c>
      <c r="N779" s="6">
        <v>322.45</v>
      </c>
      <c r="O779" s="7" t="str">
        <f t="shared" si="12"/>
        <v>Normal</v>
      </c>
    </row>
    <row r="780" spans="1:1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6">
        <v>987.4</v>
      </c>
      <c r="O780" s="7" t="str">
        <f t="shared" si="12"/>
        <v>Normal</v>
      </c>
    </row>
    <row r="781" spans="1:1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6">
        <v>1766.22</v>
      </c>
      <c r="O781" s="7" t="str">
        <f t="shared" si="12"/>
        <v>Normal</v>
      </c>
    </row>
    <row r="782" spans="1:1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6">
        <v>737.92</v>
      </c>
      <c r="O782" s="7" t="str">
        <f t="shared" si="12"/>
        <v>Normal</v>
      </c>
    </row>
    <row r="783" spans="1:1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6">
        <v>2621.3000000000002</v>
      </c>
      <c r="O783" s="7" t="str">
        <f t="shared" si="12"/>
        <v>Normal</v>
      </c>
    </row>
    <row r="784" spans="1:1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6">
        <v>987.26</v>
      </c>
      <c r="O784" s="7" t="str">
        <f t="shared" si="12"/>
        <v>Normal</v>
      </c>
    </row>
    <row r="785" spans="1:1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6">
        <v>438.34</v>
      </c>
      <c r="O785" s="7" t="str">
        <f t="shared" si="12"/>
        <v>Normal</v>
      </c>
    </row>
    <row r="786" spans="1:1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6">
        <v>325.81</v>
      </c>
      <c r="O786" s="7" t="str">
        <f t="shared" si="12"/>
        <v>Normal</v>
      </c>
    </row>
    <row r="787" spans="1:1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6">
        <v>176.1</v>
      </c>
      <c r="O787" s="7" t="str">
        <f t="shared" si="12"/>
        <v>Normal</v>
      </c>
    </row>
    <row r="788" spans="1:1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s="3" t="s">
        <v>4283</v>
      </c>
      <c r="M788" t="s">
        <v>4279</v>
      </c>
      <c r="N788" s="6">
        <v>226.55</v>
      </c>
      <c r="O788" s="7" t="str">
        <f t="shared" si="12"/>
        <v>Normal</v>
      </c>
    </row>
    <row r="789" spans="1:1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s="3" t="s">
        <v>4283</v>
      </c>
      <c r="M789" t="s">
        <v>4282</v>
      </c>
      <c r="N789" s="6">
        <v>887.84</v>
      </c>
      <c r="O789" s="7" t="str">
        <f t="shared" si="12"/>
        <v>Normal</v>
      </c>
    </row>
    <row r="790" spans="1:1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6">
        <v>1202.8599999999999</v>
      </c>
      <c r="O790" s="7" t="str">
        <f t="shared" si="12"/>
        <v>Normal</v>
      </c>
    </row>
    <row r="791" spans="1:1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6">
        <v>3456.4</v>
      </c>
      <c r="O791" s="7" t="str">
        <f t="shared" si="12"/>
        <v>Outlier</v>
      </c>
    </row>
    <row r="792" spans="1:1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s="3" t="s">
        <v>4283</v>
      </c>
      <c r="M792" t="s">
        <v>4282</v>
      </c>
      <c r="N792" s="6">
        <v>1671.56</v>
      </c>
      <c r="O792" s="7" t="str">
        <f t="shared" si="12"/>
        <v>Normal</v>
      </c>
    </row>
    <row r="793" spans="1:1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s="3" t="s">
        <v>4283</v>
      </c>
      <c r="M793" t="s">
        <v>4280</v>
      </c>
      <c r="N793" s="6">
        <v>1637.12</v>
      </c>
      <c r="O793" s="7" t="str">
        <f t="shared" si="12"/>
        <v>Normal</v>
      </c>
    </row>
    <row r="794" spans="1:1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6">
        <v>712.7</v>
      </c>
      <c r="O794" s="7" t="str">
        <f t="shared" si="12"/>
        <v>Normal</v>
      </c>
    </row>
    <row r="795" spans="1:1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s="3" t="s">
        <v>4283</v>
      </c>
      <c r="M795" t="s">
        <v>4279</v>
      </c>
      <c r="N795" s="6">
        <v>851.1</v>
      </c>
      <c r="O795" s="7" t="str">
        <f t="shared" si="12"/>
        <v>Normal</v>
      </c>
    </row>
    <row r="796" spans="1:1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6">
        <v>1539.4</v>
      </c>
      <c r="O796" s="7" t="str">
        <f t="shared" si="12"/>
        <v>Normal</v>
      </c>
    </row>
    <row r="797" spans="1:1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6">
        <v>463.08</v>
      </c>
      <c r="O797" s="7" t="str">
        <f t="shared" si="12"/>
        <v>Normal</v>
      </c>
    </row>
    <row r="798" spans="1:1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6">
        <v>1738.65</v>
      </c>
      <c r="O798" s="7" t="str">
        <f t="shared" si="12"/>
        <v>Normal</v>
      </c>
    </row>
    <row r="799" spans="1:1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s="3" t="s">
        <v>4283</v>
      </c>
      <c r="M799" t="s">
        <v>4281</v>
      </c>
      <c r="N799" s="6">
        <v>877.52</v>
      </c>
      <c r="O799" s="7" t="str">
        <f t="shared" si="12"/>
        <v>Normal</v>
      </c>
    </row>
    <row r="800" spans="1:1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6">
        <v>2441.75</v>
      </c>
      <c r="O800" s="7" t="str">
        <f t="shared" si="12"/>
        <v>Normal</v>
      </c>
    </row>
    <row r="801" spans="1:1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6">
        <v>1314.24</v>
      </c>
      <c r="O801" s="7" t="str">
        <f t="shared" si="12"/>
        <v>Normal</v>
      </c>
    </row>
    <row r="802" spans="1:1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6">
        <v>68.39</v>
      </c>
      <c r="O802" s="7" t="str">
        <f t="shared" si="12"/>
        <v>Normal</v>
      </c>
    </row>
    <row r="803" spans="1:1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6">
        <v>2382.48</v>
      </c>
      <c r="O803" s="7" t="str">
        <f t="shared" si="12"/>
        <v>Normal</v>
      </c>
    </row>
    <row r="804" spans="1:1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6">
        <v>3223.2</v>
      </c>
      <c r="O804" s="7" t="str">
        <f t="shared" si="12"/>
        <v>Normal</v>
      </c>
    </row>
    <row r="805" spans="1:1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6">
        <v>1989.05</v>
      </c>
      <c r="O805" s="7" t="str">
        <f t="shared" si="12"/>
        <v>Normal</v>
      </c>
    </row>
    <row r="806" spans="1:1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6">
        <v>709.5</v>
      </c>
      <c r="O806" s="7" t="str">
        <f t="shared" si="12"/>
        <v>Normal</v>
      </c>
    </row>
    <row r="807" spans="1:1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6">
        <v>2360.0500000000002</v>
      </c>
      <c r="O807" s="7" t="str">
        <f t="shared" si="12"/>
        <v>Normal</v>
      </c>
    </row>
    <row r="808" spans="1:1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6">
        <v>1268.75</v>
      </c>
      <c r="O808" s="7" t="str">
        <f t="shared" si="12"/>
        <v>Normal</v>
      </c>
    </row>
    <row r="809" spans="1:1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6">
        <v>2028.63</v>
      </c>
      <c r="O809" s="7" t="str">
        <f t="shared" si="12"/>
        <v>Normal</v>
      </c>
    </row>
    <row r="810" spans="1:1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s="3" t="s">
        <v>4283</v>
      </c>
      <c r="M810" t="s">
        <v>4282</v>
      </c>
      <c r="N810" s="6">
        <v>402.15</v>
      </c>
      <c r="O810" s="7" t="str">
        <f t="shared" si="12"/>
        <v>Normal</v>
      </c>
    </row>
    <row r="811" spans="1:1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6">
        <v>1087.1500000000001</v>
      </c>
      <c r="O811" s="7" t="str">
        <f t="shared" si="12"/>
        <v>Normal</v>
      </c>
    </row>
    <row r="812" spans="1:1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s="3" t="s">
        <v>4283</v>
      </c>
      <c r="M812" t="s">
        <v>4279</v>
      </c>
      <c r="N812" s="6">
        <v>553.55999999999995</v>
      </c>
      <c r="O812" s="7" t="str">
        <f t="shared" si="12"/>
        <v>Normal</v>
      </c>
    </row>
    <row r="813" spans="1:1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6">
        <v>57.1</v>
      </c>
      <c r="O813" s="7" t="str">
        <f t="shared" si="12"/>
        <v>Normal</v>
      </c>
    </row>
    <row r="814" spans="1:1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6">
        <v>510.52</v>
      </c>
      <c r="O814" s="7" t="str">
        <f t="shared" si="12"/>
        <v>Normal</v>
      </c>
    </row>
    <row r="815" spans="1:1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6">
        <v>1462.7</v>
      </c>
      <c r="O815" s="7" t="str">
        <f t="shared" si="12"/>
        <v>Normal</v>
      </c>
    </row>
    <row r="816" spans="1:1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6">
        <v>590.04</v>
      </c>
      <c r="O816" s="7" t="str">
        <f t="shared" si="12"/>
        <v>Normal</v>
      </c>
    </row>
    <row r="817" spans="1:1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6">
        <v>1709.52</v>
      </c>
      <c r="O817" s="7" t="str">
        <f t="shared" si="12"/>
        <v>Normal</v>
      </c>
    </row>
    <row r="818" spans="1:1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6">
        <v>2873.95</v>
      </c>
      <c r="O818" s="7" t="str">
        <f t="shared" si="12"/>
        <v>Normal</v>
      </c>
    </row>
    <row r="819" spans="1:1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6">
        <v>2392.7600000000002</v>
      </c>
      <c r="O819" s="7" t="str">
        <f t="shared" si="12"/>
        <v>Normal</v>
      </c>
    </row>
    <row r="820" spans="1:1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6">
        <v>1563.36</v>
      </c>
      <c r="O820" s="7" t="str">
        <f t="shared" si="12"/>
        <v>Normal</v>
      </c>
    </row>
    <row r="821" spans="1:1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6">
        <v>796.9</v>
      </c>
      <c r="O821" s="7" t="str">
        <f t="shared" si="12"/>
        <v>Normal</v>
      </c>
    </row>
    <row r="822" spans="1:1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6">
        <v>3119.05</v>
      </c>
      <c r="O822" s="7" t="str">
        <f t="shared" si="12"/>
        <v>Normal</v>
      </c>
    </row>
    <row r="823" spans="1:1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6">
        <v>697.96</v>
      </c>
      <c r="O823" s="7" t="str">
        <f t="shared" si="12"/>
        <v>Normal</v>
      </c>
    </row>
    <row r="824" spans="1:1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6">
        <v>479.56</v>
      </c>
      <c r="O824" s="7" t="str">
        <f t="shared" si="12"/>
        <v>Normal</v>
      </c>
    </row>
    <row r="825" spans="1:1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6">
        <v>2612.52</v>
      </c>
      <c r="O825" s="7" t="str">
        <f t="shared" si="12"/>
        <v>Normal</v>
      </c>
    </row>
    <row r="826" spans="1:1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6">
        <v>1443.3</v>
      </c>
      <c r="O826" s="7" t="str">
        <f t="shared" si="12"/>
        <v>Normal</v>
      </c>
    </row>
    <row r="827" spans="1:1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6">
        <v>1358.45</v>
      </c>
      <c r="O827" s="7" t="str">
        <f t="shared" si="12"/>
        <v>Normal</v>
      </c>
    </row>
    <row r="828" spans="1:1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6">
        <v>1391.43</v>
      </c>
      <c r="O828" s="7" t="str">
        <f t="shared" si="12"/>
        <v>Normal</v>
      </c>
    </row>
    <row r="829" spans="1:1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6">
        <v>1279.76</v>
      </c>
      <c r="O829" s="7" t="str">
        <f t="shared" si="12"/>
        <v>Normal</v>
      </c>
    </row>
    <row r="830" spans="1:1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6">
        <v>1618.32</v>
      </c>
      <c r="O830" s="7" t="str">
        <f t="shared" si="12"/>
        <v>Normal</v>
      </c>
    </row>
    <row r="831" spans="1:1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6">
        <v>76.930000000000007</v>
      </c>
      <c r="O831" s="7" t="str">
        <f t="shared" si="12"/>
        <v>Normal</v>
      </c>
    </row>
    <row r="832" spans="1:1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6">
        <v>762.56</v>
      </c>
      <c r="O832" s="7" t="str">
        <f t="shared" si="12"/>
        <v>Normal</v>
      </c>
    </row>
    <row r="833" spans="1:1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s="3" t="s">
        <v>4283</v>
      </c>
      <c r="M833" t="s">
        <v>4282</v>
      </c>
      <c r="N833" s="6">
        <v>177.46</v>
      </c>
      <c r="O833" s="7" t="str">
        <f t="shared" si="12"/>
        <v>Normal</v>
      </c>
    </row>
    <row r="834" spans="1:1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6">
        <v>2428.5500000000002</v>
      </c>
      <c r="O834" s="7" t="str">
        <f t="shared" si="12"/>
        <v>Normal</v>
      </c>
    </row>
    <row r="835" spans="1:1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6">
        <v>391.45</v>
      </c>
      <c r="O835" s="7" t="str">
        <f t="shared" ref="O835:O898" si="13">IF(OR(N835&lt;-1341.41,N835&gt;3330.41),"Outlier","Normal")</f>
        <v>Normal</v>
      </c>
    </row>
    <row r="836" spans="1:1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s="3" t="s">
        <v>4283</v>
      </c>
      <c r="M836" t="s">
        <v>4278</v>
      </c>
      <c r="N836" s="6">
        <v>110.7</v>
      </c>
      <c r="O836" s="7" t="str">
        <f t="shared" si="13"/>
        <v>Normal</v>
      </c>
    </row>
    <row r="837" spans="1:1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6">
        <v>679.65</v>
      </c>
      <c r="O837" s="7" t="str">
        <f t="shared" si="13"/>
        <v>Normal</v>
      </c>
    </row>
    <row r="838" spans="1:1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6">
        <v>178.44</v>
      </c>
      <c r="O838" s="7" t="str">
        <f t="shared" si="13"/>
        <v>Normal</v>
      </c>
    </row>
    <row r="839" spans="1:1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s="3" t="s">
        <v>4283</v>
      </c>
      <c r="M839" t="s">
        <v>4280</v>
      </c>
      <c r="N839" s="6">
        <v>3277.75</v>
      </c>
      <c r="O839" s="7" t="str">
        <f t="shared" si="13"/>
        <v>Normal</v>
      </c>
    </row>
    <row r="840" spans="1:1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s="3" t="s">
        <v>4283</v>
      </c>
      <c r="M840" t="s">
        <v>4281</v>
      </c>
      <c r="N840" s="6">
        <v>2308.3200000000002</v>
      </c>
      <c r="O840" s="7" t="str">
        <f t="shared" si="13"/>
        <v>Normal</v>
      </c>
    </row>
    <row r="841" spans="1:1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s="3" t="s">
        <v>4283</v>
      </c>
      <c r="M841" t="s">
        <v>4282</v>
      </c>
      <c r="N841" s="6">
        <v>593.91</v>
      </c>
      <c r="O841" s="7" t="str">
        <f t="shared" si="13"/>
        <v>Normal</v>
      </c>
    </row>
    <row r="842" spans="1:1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6">
        <v>1235.8499999999999</v>
      </c>
      <c r="O842" s="7" t="str">
        <f t="shared" si="13"/>
        <v>Normal</v>
      </c>
    </row>
    <row r="843" spans="1:1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s="3" t="s">
        <v>4283</v>
      </c>
      <c r="M843" t="s">
        <v>4281</v>
      </c>
      <c r="N843" s="6">
        <v>886.44</v>
      </c>
      <c r="O843" s="7" t="str">
        <f t="shared" si="13"/>
        <v>Normal</v>
      </c>
    </row>
    <row r="844" spans="1:1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6">
        <v>1092.42</v>
      </c>
      <c r="O844" s="7" t="str">
        <f t="shared" si="13"/>
        <v>Normal</v>
      </c>
    </row>
    <row r="845" spans="1:1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6">
        <v>1290.18</v>
      </c>
      <c r="O845" s="7" t="str">
        <f t="shared" si="13"/>
        <v>Normal</v>
      </c>
    </row>
    <row r="846" spans="1:1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6">
        <v>320.92</v>
      </c>
      <c r="O846" s="7" t="str">
        <f t="shared" si="13"/>
        <v>Normal</v>
      </c>
    </row>
    <row r="847" spans="1:1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6">
        <v>322.08</v>
      </c>
      <c r="O847" s="7" t="str">
        <f t="shared" si="13"/>
        <v>Normal</v>
      </c>
    </row>
    <row r="848" spans="1:1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s="3" t="s">
        <v>4283</v>
      </c>
      <c r="M848" t="s">
        <v>4279</v>
      </c>
      <c r="N848" s="6">
        <v>719.72</v>
      </c>
      <c r="O848" s="7" t="str">
        <f t="shared" si="13"/>
        <v>Normal</v>
      </c>
    </row>
    <row r="849" spans="1:1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6">
        <v>1736.92</v>
      </c>
      <c r="O849" s="7" t="str">
        <f t="shared" si="13"/>
        <v>Normal</v>
      </c>
    </row>
    <row r="850" spans="1:1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s="3" t="s">
        <v>4283</v>
      </c>
      <c r="M850" t="s">
        <v>4279</v>
      </c>
      <c r="N850" s="6">
        <v>1291.7</v>
      </c>
      <c r="O850" s="7" t="str">
        <f t="shared" si="13"/>
        <v>Normal</v>
      </c>
    </row>
    <row r="851" spans="1:1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6">
        <v>857.4</v>
      </c>
      <c r="O851" s="7" t="str">
        <f t="shared" si="13"/>
        <v>Normal</v>
      </c>
    </row>
    <row r="852" spans="1:1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6">
        <v>1915.5</v>
      </c>
      <c r="O852" s="7" t="str">
        <f t="shared" si="13"/>
        <v>Normal</v>
      </c>
    </row>
    <row r="853" spans="1:1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6">
        <v>365.57</v>
      </c>
      <c r="O853" s="7" t="str">
        <f t="shared" si="13"/>
        <v>Normal</v>
      </c>
    </row>
    <row r="854" spans="1:1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6">
        <v>1704.15</v>
      </c>
      <c r="O854" s="7" t="str">
        <f t="shared" si="13"/>
        <v>Normal</v>
      </c>
    </row>
    <row r="855" spans="1:1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6">
        <v>1470.03</v>
      </c>
      <c r="O855" s="7" t="str">
        <f t="shared" si="13"/>
        <v>Normal</v>
      </c>
    </row>
    <row r="856" spans="1:1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6">
        <v>1117.8</v>
      </c>
      <c r="O856" s="7" t="str">
        <f t="shared" si="13"/>
        <v>Normal</v>
      </c>
    </row>
    <row r="857" spans="1:1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6">
        <v>1203.05</v>
      </c>
      <c r="O857" s="7" t="str">
        <f t="shared" si="13"/>
        <v>Normal</v>
      </c>
    </row>
    <row r="858" spans="1:1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s="3" t="s">
        <v>4283</v>
      </c>
      <c r="M858" t="s">
        <v>4281</v>
      </c>
      <c r="N858" s="6">
        <v>586.62</v>
      </c>
      <c r="O858" s="7" t="str">
        <f t="shared" si="13"/>
        <v>Normal</v>
      </c>
    </row>
    <row r="859" spans="1:1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s="3" t="s">
        <v>4283</v>
      </c>
      <c r="M859" t="s">
        <v>4278</v>
      </c>
      <c r="N859" s="6">
        <v>773.52</v>
      </c>
      <c r="O859" s="7" t="str">
        <f t="shared" si="13"/>
        <v>Normal</v>
      </c>
    </row>
    <row r="860" spans="1:1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s="3" t="s">
        <v>4283</v>
      </c>
      <c r="M860" t="s">
        <v>4281</v>
      </c>
      <c r="N860" s="6">
        <v>2178.3000000000002</v>
      </c>
      <c r="O860" s="7" t="str">
        <f t="shared" si="13"/>
        <v>Normal</v>
      </c>
    </row>
    <row r="861" spans="1:1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6">
        <v>1306.6500000000001</v>
      </c>
      <c r="O861" s="7" t="str">
        <f t="shared" si="13"/>
        <v>Normal</v>
      </c>
    </row>
    <row r="862" spans="1:1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6">
        <v>422.54</v>
      </c>
      <c r="O862" s="7" t="str">
        <f t="shared" si="13"/>
        <v>Normal</v>
      </c>
    </row>
    <row r="863" spans="1:1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6">
        <v>1652.25</v>
      </c>
      <c r="O863" s="7" t="str">
        <f t="shared" si="13"/>
        <v>Normal</v>
      </c>
    </row>
    <row r="864" spans="1:1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6">
        <v>362.46</v>
      </c>
      <c r="O864" s="7" t="str">
        <f t="shared" si="13"/>
        <v>Normal</v>
      </c>
    </row>
    <row r="865" spans="1:1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6">
        <v>14.06</v>
      </c>
      <c r="O865" s="7" t="str">
        <f t="shared" si="13"/>
        <v>Normal</v>
      </c>
    </row>
    <row r="866" spans="1:1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6">
        <v>491.11</v>
      </c>
      <c r="O866" s="7" t="str">
        <f t="shared" si="13"/>
        <v>Normal</v>
      </c>
    </row>
    <row r="867" spans="1:1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6">
        <v>2709.48</v>
      </c>
      <c r="O867" s="7" t="str">
        <f t="shared" si="13"/>
        <v>Normal</v>
      </c>
    </row>
    <row r="868" spans="1:1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6">
        <v>946.25</v>
      </c>
      <c r="O868" s="7" t="str">
        <f t="shared" si="13"/>
        <v>Normal</v>
      </c>
    </row>
    <row r="869" spans="1:1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6">
        <v>570.32000000000005</v>
      </c>
      <c r="O869" s="7" t="str">
        <f t="shared" si="13"/>
        <v>Normal</v>
      </c>
    </row>
    <row r="870" spans="1:1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s="3" t="s">
        <v>4283</v>
      </c>
      <c r="M870" t="s">
        <v>4281</v>
      </c>
      <c r="N870" s="6">
        <v>1265.28</v>
      </c>
      <c r="O870" s="7" t="str">
        <f t="shared" si="13"/>
        <v>Normal</v>
      </c>
    </row>
    <row r="871" spans="1:1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6">
        <v>1067.9000000000001</v>
      </c>
      <c r="O871" s="7" t="str">
        <f t="shared" si="13"/>
        <v>Normal</v>
      </c>
    </row>
    <row r="872" spans="1:1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6">
        <v>1880.36</v>
      </c>
      <c r="O872" s="7" t="str">
        <f t="shared" si="13"/>
        <v>Normal</v>
      </c>
    </row>
    <row r="873" spans="1:1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6">
        <v>972.90000000000009</v>
      </c>
      <c r="O873" s="7" t="str">
        <f t="shared" si="13"/>
        <v>Normal</v>
      </c>
    </row>
    <row r="874" spans="1:1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s="3" t="s">
        <v>4283</v>
      </c>
      <c r="M874" t="s">
        <v>4280</v>
      </c>
      <c r="N874" s="6">
        <v>2517.36</v>
      </c>
      <c r="O874" s="7" t="str">
        <f t="shared" si="13"/>
        <v>Normal</v>
      </c>
    </row>
    <row r="875" spans="1:1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6">
        <v>410.52</v>
      </c>
      <c r="O875" s="7" t="str">
        <f t="shared" si="13"/>
        <v>Normal</v>
      </c>
    </row>
    <row r="876" spans="1:1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6">
        <v>977.8</v>
      </c>
      <c r="O876" s="7" t="str">
        <f t="shared" si="13"/>
        <v>Normal</v>
      </c>
    </row>
    <row r="877" spans="1:1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6">
        <v>666.94999999999993</v>
      </c>
      <c r="O877" s="7" t="str">
        <f t="shared" si="13"/>
        <v>Normal</v>
      </c>
    </row>
    <row r="878" spans="1:1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6">
        <v>3044.55</v>
      </c>
      <c r="O878" s="7" t="str">
        <f t="shared" si="13"/>
        <v>Normal</v>
      </c>
    </row>
    <row r="879" spans="1:1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6">
        <v>524.05999999999995</v>
      </c>
      <c r="O879" s="7" t="str">
        <f t="shared" si="13"/>
        <v>Normal</v>
      </c>
    </row>
    <row r="880" spans="1:1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6">
        <v>661.38</v>
      </c>
      <c r="O880" s="7" t="str">
        <f t="shared" si="13"/>
        <v>Normal</v>
      </c>
    </row>
    <row r="881" spans="1:1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s="3" t="s">
        <v>4283</v>
      </c>
      <c r="M881" t="s">
        <v>4278</v>
      </c>
      <c r="N881" s="6">
        <v>1095.3399999999999</v>
      </c>
      <c r="O881" s="7" t="str">
        <f t="shared" si="13"/>
        <v>Normal</v>
      </c>
    </row>
    <row r="882" spans="1:1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6">
        <v>934.8</v>
      </c>
      <c r="O882" s="7" t="str">
        <f t="shared" si="13"/>
        <v>Normal</v>
      </c>
    </row>
    <row r="883" spans="1:1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s="3" t="s">
        <v>4283</v>
      </c>
      <c r="M883" t="s">
        <v>4278</v>
      </c>
      <c r="N883" s="6">
        <v>897.7</v>
      </c>
      <c r="O883" s="7" t="str">
        <f t="shared" si="13"/>
        <v>Normal</v>
      </c>
    </row>
    <row r="884" spans="1:1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6">
        <v>548.24</v>
      </c>
      <c r="O884" s="7" t="str">
        <f t="shared" si="13"/>
        <v>Normal</v>
      </c>
    </row>
    <row r="885" spans="1:1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6">
        <v>2807.4</v>
      </c>
      <c r="O885" s="7" t="str">
        <f t="shared" si="13"/>
        <v>Normal</v>
      </c>
    </row>
    <row r="886" spans="1:1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s="3" t="s">
        <v>4283</v>
      </c>
      <c r="M886" t="s">
        <v>4278</v>
      </c>
      <c r="N886" s="6">
        <v>595.54</v>
      </c>
      <c r="O886" s="7" t="str">
        <f t="shared" si="13"/>
        <v>Normal</v>
      </c>
    </row>
    <row r="887" spans="1:1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6">
        <v>2062.36</v>
      </c>
      <c r="O887" s="7" t="str">
        <f t="shared" si="13"/>
        <v>Normal</v>
      </c>
    </row>
    <row r="888" spans="1:1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s="3" t="s">
        <v>4283</v>
      </c>
      <c r="M888" t="s">
        <v>4282</v>
      </c>
      <c r="N888" s="6">
        <v>460.13</v>
      </c>
      <c r="O888" s="7" t="str">
        <f t="shared" si="13"/>
        <v>Normal</v>
      </c>
    </row>
    <row r="889" spans="1:1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s="3" t="s">
        <v>4283</v>
      </c>
      <c r="M889" t="s">
        <v>4282</v>
      </c>
      <c r="N889" s="6">
        <v>514.98</v>
      </c>
      <c r="O889" s="7" t="str">
        <f t="shared" si="13"/>
        <v>Normal</v>
      </c>
    </row>
    <row r="890" spans="1:1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s="3" t="s">
        <v>4283</v>
      </c>
      <c r="M890" t="s">
        <v>4278</v>
      </c>
      <c r="N890" s="6">
        <v>533.9</v>
      </c>
      <c r="O890" s="7" t="str">
        <f t="shared" si="13"/>
        <v>Normal</v>
      </c>
    </row>
    <row r="891" spans="1:1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6">
        <v>3253.6</v>
      </c>
      <c r="O891" s="7" t="str">
        <f t="shared" si="13"/>
        <v>Normal</v>
      </c>
    </row>
    <row r="892" spans="1:1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s="3" t="s">
        <v>4283</v>
      </c>
      <c r="M892" t="s">
        <v>4282</v>
      </c>
      <c r="N892" s="6">
        <v>1318.59</v>
      </c>
      <c r="O892" s="7" t="str">
        <f t="shared" si="13"/>
        <v>Normal</v>
      </c>
    </row>
    <row r="893" spans="1:1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6">
        <v>1963.62</v>
      </c>
      <c r="O893" s="7" t="str">
        <f t="shared" si="13"/>
        <v>Normal</v>
      </c>
    </row>
    <row r="894" spans="1:1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6">
        <v>394.53</v>
      </c>
      <c r="O894" s="7" t="str">
        <f t="shared" si="13"/>
        <v>Normal</v>
      </c>
    </row>
    <row r="895" spans="1:1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6">
        <v>678.01</v>
      </c>
      <c r="O895" s="7" t="str">
        <f t="shared" si="13"/>
        <v>Normal</v>
      </c>
    </row>
    <row r="896" spans="1:1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6">
        <v>1725.03</v>
      </c>
      <c r="O896" s="7" t="str">
        <f t="shared" si="13"/>
        <v>Normal</v>
      </c>
    </row>
    <row r="897" spans="1:1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6">
        <v>463.92</v>
      </c>
      <c r="O897" s="7" t="str">
        <f t="shared" si="13"/>
        <v>Normal</v>
      </c>
    </row>
    <row r="898" spans="1:1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6">
        <v>441.87</v>
      </c>
      <c r="O898" s="7" t="str">
        <f t="shared" si="13"/>
        <v>Normal</v>
      </c>
    </row>
    <row r="899" spans="1:1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6">
        <v>1925.92</v>
      </c>
      <c r="O899" s="7" t="str">
        <f t="shared" ref="O899:O962" si="14">IF(OR(N899&lt;-1341.41,N899&gt;3330.41),"Outlier","Normal")</f>
        <v>Normal</v>
      </c>
    </row>
    <row r="900" spans="1:1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s="3" t="s">
        <v>4283</v>
      </c>
      <c r="M900" t="s">
        <v>4279</v>
      </c>
      <c r="N900" s="6">
        <v>475.11</v>
      </c>
      <c r="O900" s="7" t="str">
        <f t="shared" si="14"/>
        <v>Normal</v>
      </c>
    </row>
    <row r="901" spans="1:1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6">
        <v>646.74</v>
      </c>
      <c r="O901" s="7" t="str">
        <f t="shared" si="14"/>
        <v>Normal</v>
      </c>
    </row>
    <row r="902" spans="1:1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s="3" t="s">
        <v>4283</v>
      </c>
      <c r="M902" t="s">
        <v>4278</v>
      </c>
      <c r="N902" s="6">
        <v>369.15</v>
      </c>
      <c r="O902" s="7" t="str">
        <f t="shared" si="14"/>
        <v>Normal</v>
      </c>
    </row>
    <row r="903" spans="1:1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6">
        <v>458.63</v>
      </c>
      <c r="O903" s="7" t="str">
        <f t="shared" si="14"/>
        <v>Normal</v>
      </c>
    </row>
    <row r="904" spans="1:1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s="3" t="s">
        <v>4283</v>
      </c>
      <c r="M904" t="s">
        <v>4281</v>
      </c>
      <c r="N904" s="6">
        <v>721</v>
      </c>
      <c r="O904" s="7" t="str">
        <f t="shared" si="14"/>
        <v>Normal</v>
      </c>
    </row>
    <row r="905" spans="1:1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s="3" t="s">
        <v>4283</v>
      </c>
      <c r="M905" t="s">
        <v>4280</v>
      </c>
      <c r="N905" s="6">
        <v>1420.47</v>
      </c>
      <c r="O905" s="7" t="str">
        <f t="shared" si="14"/>
        <v>Normal</v>
      </c>
    </row>
    <row r="906" spans="1:1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6">
        <v>949.72</v>
      </c>
      <c r="O906" s="7" t="str">
        <f t="shared" si="14"/>
        <v>Normal</v>
      </c>
    </row>
    <row r="907" spans="1:1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6">
        <v>442.39</v>
      </c>
      <c r="O907" s="7" t="str">
        <f t="shared" si="14"/>
        <v>Normal</v>
      </c>
    </row>
    <row r="908" spans="1:1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s="3" t="s">
        <v>4283</v>
      </c>
      <c r="M908" t="s">
        <v>4280</v>
      </c>
      <c r="N908" s="6">
        <v>62.12</v>
      </c>
      <c r="O908" s="7" t="str">
        <f t="shared" si="14"/>
        <v>Normal</v>
      </c>
    </row>
    <row r="909" spans="1:1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6">
        <v>1491.95</v>
      </c>
      <c r="O909" s="7" t="str">
        <f t="shared" si="14"/>
        <v>Normal</v>
      </c>
    </row>
    <row r="910" spans="1:1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6">
        <v>1395.86</v>
      </c>
      <c r="O910" s="7" t="str">
        <f t="shared" si="14"/>
        <v>Normal</v>
      </c>
    </row>
    <row r="911" spans="1:1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6">
        <v>583.70000000000005</v>
      </c>
      <c r="O911" s="7" t="str">
        <f t="shared" si="14"/>
        <v>Normal</v>
      </c>
    </row>
    <row r="912" spans="1:1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6">
        <v>926.94</v>
      </c>
      <c r="O912" s="7" t="str">
        <f t="shared" si="14"/>
        <v>Normal</v>
      </c>
    </row>
    <row r="913" spans="1:1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6">
        <v>1984.3</v>
      </c>
      <c r="O913" s="7" t="str">
        <f t="shared" si="14"/>
        <v>Normal</v>
      </c>
    </row>
    <row r="914" spans="1:1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6">
        <v>279.38</v>
      </c>
      <c r="O914" s="7" t="str">
        <f t="shared" si="14"/>
        <v>Normal</v>
      </c>
    </row>
    <row r="915" spans="1:1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6">
        <v>2379.75</v>
      </c>
      <c r="O915" s="7" t="str">
        <f t="shared" si="14"/>
        <v>Normal</v>
      </c>
    </row>
    <row r="916" spans="1:1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6">
        <v>626.6</v>
      </c>
      <c r="O916" s="7" t="str">
        <f t="shared" si="14"/>
        <v>Normal</v>
      </c>
    </row>
    <row r="917" spans="1:1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6">
        <v>2011.96</v>
      </c>
      <c r="O917" s="7" t="str">
        <f t="shared" si="14"/>
        <v>Normal</v>
      </c>
    </row>
    <row r="918" spans="1:1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s="3" t="s">
        <v>4283</v>
      </c>
      <c r="M918" t="s">
        <v>4279</v>
      </c>
      <c r="N918" s="6">
        <v>2894.15</v>
      </c>
      <c r="O918" s="7" t="str">
        <f t="shared" si="14"/>
        <v>Normal</v>
      </c>
    </row>
    <row r="919" spans="1:1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6">
        <v>1919.1</v>
      </c>
      <c r="O919" s="7" t="str">
        <f t="shared" si="14"/>
        <v>Normal</v>
      </c>
    </row>
    <row r="920" spans="1:1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s="3" t="s">
        <v>4283</v>
      </c>
      <c r="M920" t="s">
        <v>4278</v>
      </c>
      <c r="N920" s="6">
        <v>1841.25</v>
      </c>
      <c r="O920" s="7" t="str">
        <f t="shared" si="14"/>
        <v>Normal</v>
      </c>
    </row>
    <row r="921" spans="1:1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6">
        <v>749.2</v>
      </c>
      <c r="O921" s="7" t="str">
        <f t="shared" si="14"/>
        <v>Normal</v>
      </c>
    </row>
    <row r="922" spans="1:1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s="3" t="s">
        <v>4283</v>
      </c>
      <c r="M922" t="s">
        <v>4278</v>
      </c>
      <c r="N922" s="6">
        <v>856.18</v>
      </c>
      <c r="O922" s="7" t="str">
        <f t="shared" si="14"/>
        <v>Normal</v>
      </c>
    </row>
    <row r="923" spans="1:1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6">
        <v>438.93</v>
      </c>
      <c r="O923" s="7" t="str">
        <f t="shared" si="14"/>
        <v>Normal</v>
      </c>
    </row>
    <row r="924" spans="1:1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s="3" t="s">
        <v>4283</v>
      </c>
      <c r="M924" t="s">
        <v>4278</v>
      </c>
      <c r="N924" s="6">
        <v>1127.6400000000001</v>
      </c>
      <c r="O924" s="7" t="str">
        <f t="shared" si="14"/>
        <v>Normal</v>
      </c>
    </row>
    <row r="925" spans="1:1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6">
        <v>1949.79</v>
      </c>
      <c r="O925" s="7" t="str">
        <f t="shared" si="14"/>
        <v>Normal</v>
      </c>
    </row>
    <row r="926" spans="1:1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6">
        <v>1342.15</v>
      </c>
      <c r="O926" s="7" t="str">
        <f t="shared" si="14"/>
        <v>Normal</v>
      </c>
    </row>
    <row r="927" spans="1:1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6">
        <v>2512.35</v>
      </c>
      <c r="O927" s="7" t="str">
        <f t="shared" si="14"/>
        <v>Normal</v>
      </c>
    </row>
    <row r="928" spans="1:1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6">
        <v>26.95</v>
      </c>
      <c r="O928" s="7" t="str">
        <f t="shared" si="14"/>
        <v>Normal</v>
      </c>
    </row>
    <row r="929" spans="1:1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6">
        <v>258.76</v>
      </c>
      <c r="O929" s="7" t="str">
        <f t="shared" si="14"/>
        <v>Normal</v>
      </c>
    </row>
    <row r="930" spans="1:1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6">
        <v>741.33</v>
      </c>
      <c r="O930" s="7" t="str">
        <f t="shared" si="14"/>
        <v>Normal</v>
      </c>
    </row>
    <row r="931" spans="1:1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s="3" t="s">
        <v>4283</v>
      </c>
      <c r="M931" t="s">
        <v>4280</v>
      </c>
      <c r="N931" s="6">
        <v>1072.5</v>
      </c>
      <c r="O931" s="7" t="str">
        <f t="shared" si="14"/>
        <v>Normal</v>
      </c>
    </row>
    <row r="932" spans="1:1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6">
        <v>912.08</v>
      </c>
      <c r="O932" s="7" t="str">
        <f t="shared" si="14"/>
        <v>Normal</v>
      </c>
    </row>
    <row r="933" spans="1:1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6">
        <v>80.459999999999994</v>
      </c>
      <c r="O933" s="7" t="str">
        <f t="shared" si="14"/>
        <v>Normal</v>
      </c>
    </row>
    <row r="934" spans="1:1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6">
        <v>144.78</v>
      </c>
      <c r="O934" s="7" t="str">
        <f t="shared" si="14"/>
        <v>Normal</v>
      </c>
    </row>
    <row r="935" spans="1:1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s="3" t="s">
        <v>4283</v>
      </c>
      <c r="M935" t="s">
        <v>4279</v>
      </c>
      <c r="N935" s="6">
        <v>788.32</v>
      </c>
      <c r="O935" s="7" t="str">
        <f t="shared" si="14"/>
        <v>Normal</v>
      </c>
    </row>
    <row r="936" spans="1:1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6">
        <v>479.36</v>
      </c>
      <c r="O936" s="7" t="str">
        <f t="shared" si="14"/>
        <v>Normal</v>
      </c>
    </row>
    <row r="937" spans="1:1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6">
        <v>2078.13</v>
      </c>
      <c r="O937" s="7" t="str">
        <f t="shared" si="14"/>
        <v>Normal</v>
      </c>
    </row>
    <row r="938" spans="1:1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6">
        <v>226.64</v>
      </c>
      <c r="O938" s="7" t="str">
        <f t="shared" si="14"/>
        <v>Normal</v>
      </c>
    </row>
    <row r="939" spans="1:1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6">
        <v>597.05999999999995</v>
      </c>
      <c r="O939" s="7" t="str">
        <f t="shared" si="14"/>
        <v>Normal</v>
      </c>
    </row>
    <row r="940" spans="1:1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6">
        <v>994.37999999999988</v>
      </c>
      <c r="O940" s="7" t="str">
        <f t="shared" si="14"/>
        <v>Normal</v>
      </c>
    </row>
    <row r="941" spans="1:1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6">
        <v>1042.8</v>
      </c>
      <c r="O941" s="7" t="str">
        <f t="shared" si="14"/>
        <v>Normal</v>
      </c>
    </row>
    <row r="942" spans="1:1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6">
        <v>1221.28</v>
      </c>
      <c r="O942" s="7" t="str">
        <f t="shared" si="14"/>
        <v>Normal</v>
      </c>
    </row>
    <row r="943" spans="1:1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6">
        <v>558.5</v>
      </c>
      <c r="O943" s="7" t="str">
        <f t="shared" si="14"/>
        <v>Normal</v>
      </c>
    </row>
    <row r="944" spans="1:1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s="3" t="s">
        <v>4283</v>
      </c>
      <c r="M944" t="s">
        <v>4280</v>
      </c>
      <c r="N944" s="6">
        <v>479.76</v>
      </c>
      <c r="O944" s="7" t="str">
        <f t="shared" si="14"/>
        <v>Normal</v>
      </c>
    </row>
    <row r="945" spans="1:1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6">
        <v>580.47</v>
      </c>
      <c r="O945" s="7" t="str">
        <f t="shared" si="14"/>
        <v>Normal</v>
      </c>
    </row>
    <row r="946" spans="1:1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6">
        <v>852.44</v>
      </c>
      <c r="O946" s="7" t="str">
        <f t="shared" si="14"/>
        <v>Normal</v>
      </c>
    </row>
    <row r="947" spans="1:1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6">
        <v>1382.2</v>
      </c>
      <c r="O947" s="7" t="str">
        <f t="shared" si="14"/>
        <v>Normal</v>
      </c>
    </row>
    <row r="948" spans="1:1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6">
        <v>809.92</v>
      </c>
      <c r="O948" s="7" t="str">
        <f t="shared" si="14"/>
        <v>Normal</v>
      </c>
    </row>
    <row r="949" spans="1:1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6">
        <v>1862.64</v>
      </c>
      <c r="O949" s="7" t="str">
        <f t="shared" si="14"/>
        <v>Normal</v>
      </c>
    </row>
    <row r="950" spans="1:1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s="3" t="s">
        <v>4283</v>
      </c>
      <c r="M950" t="s">
        <v>4282</v>
      </c>
      <c r="N950" s="6">
        <v>1188.1400000000001</v>
      </c>
      <c r="O950" s="7" t="str">
        <f t="shared" si="14"/>
        <v>Normal</v>
      </c>
    </row>
    <row r="951" spans="1:1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s="3" t="s">
        <v>4283</v>
      </c>
      <c r="M951" t="s">
        <v>4279</v>
      </c>
      <c r="N951" s="6">
        <v>551.9</v>
      </c>
      <c r="O951" s="7" t="str">
        <f t="shared" si="14"/>
        <v>Normal</v>
      </c>
    </row>
    <row r="952" spans="1:1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6">
        <v>596.24</v>
      </c>
      <c r="O952" s="7" t="str">
        <f t="shared" si="14"/>
        <v>Normal</v>
      </c>
    </row>
    <row r="953" spans="1:1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6">
        <v>612.48</v>
      </c>
      <c r="O953" s="7" t="str">
        <f t="shared" si="14"/>
        <v>Normal</v>
      </c>
    </row>
    <row r="954" spans="1:1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s="3" t="s">
        <v>4283</v>
      </c>
      <c r="M954" t="s">
        <v>4281</v>
      </c>
      <c r="N954" s="6">
        <v>1510.17</v>
      </c>
      <c r="O954" s="7" t="str">
        <f t="shared" si="14"/>
        <v>Normal</v>
      </c>
    </row>
    <row r="955" spans="1:1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6">
        <v>131.61000000000001</v>
      </c>
      <c r="O955" s="7" t="str">
        <f t="shared" si="14"/>
        <v>Normal</v>
      </c>
    </row>
    <row r="956" spans="1:1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6">
        <v>1330.32</v>
      </c>
      <c r="O956" s="7" t="str">
        <f t="shared" si="14"/>
        <v>Normal</v>
      </c>
    </row>
    <row r="957" spans="1:1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6">
        <v>408.13</v>
      </c>
      <c r="O957" s="7" t="str">
        <f t="shared" si="14"/>
        <v>Normal</v>
      </c>
    </row>
    <row r="958" spans="1:1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6">
        <v>321.95999999999998</v>
      </c>
      <c r="O958" s="7" t="str">
        <f t="shared" si="14"/>
        <v>Normal</v>
      </c>
    </row>
    <row r="959" spans="1:1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6">
        <v>3219.45</v>
      </c>
      <c r="O959" s="7" t="str">
        <f t="shared" si="14"/>
        <v>Normal</v>
      </c>
    </row>
    <row r="960" spans="1:1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6">
        <v>475.98</v>
      </c>
      <c r="O960" s="7" t="str">
        <f t="shared" si="14"/>
        <v>Normal</v>
      </c>
    </row>
    <row r="961" spans="1:1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6">
        <v>287.64</v>
      </c>
      <c r="O961" s="7" t="str">
        <f t="shared" si="14"/>
        <v>Normal</v>
      </c>
    </row>
    <row r="962" spans="1:1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6">
        <v>1137.21</v>
      </c>
      <c r="O962" s="7" t="str">
        <f t="shared" si="14"/>
        <v>Normal</v>
      </c>
    </row>
    <row r="963" spans="1:1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s="3" t="s">
        <v>4283</v>
      </c>
      <c r="M963" t="s">
        <v>4281</v>
      </c>
      <c r="N963" s="6">
        <v>601.36</v>
      </c>
      <c r="O963" s="7" t="str">
        <f t="shared" ref="O963:O1026" si="15">IF(OR(N963&lt;-1341.41,N963&gt;3330.41),"Outlier","Normal")</f>
        <v>Normal</v>
      </c>
    </row>
    <row r="964" spans="1:1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6">
        <v>284.16000000000003</v>
      </c>
      <c r="O964" s="7" t="str">
        <f t="shared" si="15"/>
        <v>Normal</v>
      </c>
    </row>
    <row r="965" spans="1:1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6">
        <v>2651.7</v>
      </c>
      <c r="O965" s="7" t="str">
        <f t="shared" si="15"/>
        <v>Normal</v>
      </c>
    </row>
    <row r="966" spans="1:1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6">
        <v>1822.1</v>
      </c>
      <c r="O966" s="7" t="str">
        <f t="shared" si="15"/>
        <v>Normal</v>
      </c>
    </row>
    <row r="967" spans="1:1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6">
        <v>2313.12</v>
      </c>
      <c r="O967" s="7" t="str">
        <f t="shared" si="15"/>
        <v>Normal</v>
      </c>
    </row>
    <row r="968" spans="1:1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6">
        <v>1402.6</v>
      </c>
      <c r="O968" s="7" t="str">
        <f t="shared" si="15"/>
        <v>Normal</v>
      </c>
    </row>
    <row r="969" spans="1:1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6">
        <v>3194.6</v>
      </c>
      <c r="O969" s="7" t="str">
        <f t="shared" si="15"/>
        <v>Normal</v>
      </c>
    </row>
    <row r="970" spans="1:1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6">
        <v>1648.8</v>
      </c>
      <c r="O970" s="7" t="str">
        <f t="shared" si="15"/>
        <v>Normal</v>
      </c>
    </row>
    <row r="971" spans="1:1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6">
        <v>440.34</v>
      </c>
      <c r="O971" s="7" t="str">
        <f t="shared" si="15"/>
        <v>Normal</v>
      </c>
    </row>
    <row r="972" spans="1:1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6">
        <v>627.15</v>
      </c>
      <c r="O972" s="7" t="str">
        <f t="shared" si="15"/>
        <v>Normal</v>
      </c>
    </row>
    <row r="973" spans="1:1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6">
        <v>1210.52</v>
      </c>
      <c r="O973" s="7" t="str">
        <f t="shared" si="15"/>
        <v>Normal</v>
      </c>
    </row>
    <row r="974" spans="1:1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6">
        <v>90.27</v>
      </c>
      <c r="O974" s="7" t="str">
        <f t="shared" si="15"/>
        <v>Normal</v>
      </c>
    </row>
    <row r="975" spans="1:1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6">
        <v>1153.8499999999999</v>
      </c>
      <c r="O975" s="7" t="str">
        <f t="shared" si="15"/>
        <v>Normal</v>
      </c>
    </row>
    <row r="976" spans="1:1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s="3" t="s">
        <v>4283</v>
      </c>
      <c r="M976" t="s">
        <v>4280</v>
      </c>
      <c r="N976" s="6">
        <v>1333.9</v>
      </c>
      <c r="O976" s="7" t="str">
        <f t="shared" si="15"/>
        <v>Normal</v>
      </c>
    </row>
    <row r="977" spans="1:1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6">
        <v>105.92</v>
      </c>
      <c r="O977" s="7" t="str">
        <f t="shared" si="15"/>
        <v>Normal</v>
      </c>
    </row>
    <row r="978" spans="1:1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6">
        <v>1767.9</v>
      </c>
      <c r="O978" s="7" t="str">
        <f t="shared" si="15"/>
        <v>Normal</v>
      </c>
    </row>
    <row r="979" spans="1:1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6">
        <v>2597.88</v>
      </c>
      <c r="O979" s="7" t="str">
        <f t="shared" si="15"/>
        <v>Normal</v>
      </c>
    </row>
    <row r="980" spans="1:1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s="3" t="s">
        <v>4283</v>
      </c>
      <c r="M980" t="s">
        <v>4282</v>
      </c>
      <c r="N980" s="6">
        <v>429.96</v>
      </c>
      <c r="O980" s="7" t="str">
        <f t="shared" si="15"/>
        <v>Normal</v>
      </c>
    </row>
    <row r="981" spans="1:1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6">
        <v>2007.18</v>
      </c>
      <c r="O981" s="7" t="str">
        <f t="shared" si="15"/>
        <v>Normal</v>
      </c>
    </row>
    <row r="982" spans="1:1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6">
        <v>208.95</v>
      </c>
      <c r="O982" s="7" t="str">
        <f t="shared" si="15"/>
        <v>Normal</v>
      </c>
    </row>
    <row r="983" spans="1:1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6">
        <v>547.32000000000005</v>
      </c>
      <c r="O983" s="7" t="str">
        <f t="shared" si="15"/>
        <v>Normal</v>
      </c>
    </row>
    <row r="984" spans="1:1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6">
        <v>304.11</v>
      </c>
      <c r="O984" s="7" t="str">
        <f t="shared" si="15"/>
        <v>Normal</v>
      </c>
    </row>
    <row r="985" spans="1:1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6">
        <v>1185.1199999999999</v>
      </c>
      <c r="O985" s="7" t="str">
        <f t="shared" si="15"/>
        <v>Normal</v>
      </c>
    </row>
    <row r="986" spans="1:1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6">
        <v>77.64</v>
      </c>
      <c r="O986" s="7" t="str">
        <f t="shared" si="15"/>
        <v>Normal</v>
      </c>
    </row>
    <row r="987" spans="1:1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6">
        <v>243.71</v>
      </c>
      <c r="O987" s="7" t="str">
        <f t="shared" si="15"/>
        <v>Normal</v>
      </c>
    </row>
    <row r="988" spans="1:1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6">
        <v>2579.84</v>
      </c>
      <c r="O988" s="7" t="str">
        <f t="shared" si="15"/>
        <v>Normal</v>
      </c>
    </row>
    <row r="989" spans="1:1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6">
        <v>1418.65</v>
      </c>
      <c r="O989" s="7" t="str">
        <f t="shared" si="15"/>
        <v>Normal</v>
      </c>
    </row>
    <row r="990" spans="1:1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6">
        <v>1259.1199999999999</v>
      </c>
      <c r="O990" s="7" t="str">
        <f t="shared" si="15"/>
        <v>Normal</v>
      </c>
    </row>
    <row r="991" spans="1:1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6">
        <v>984.44</v>
      </c>
      <c r="O991" s="7" t="str">
        <f t="shared" si="15"/>
        <v>Normal</v>
      </c>
    </row>
    <row r="992" spans="1:1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6">
        <v>836.52</v>
      </c>
      <c r="O992" s="7" t="str">
        <f t="shared" si="15"/>
        <v>Normal</v>
      </c>
    </row>
    <row r="993" spans="1:1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6">
        <v>635.90000000000009</v>
      </c>
      <c r="O993" s="7" t="str">
        <f t="shared" si="15"/>
        <v>Normal</v>
      </c>
    </row>
    <row r="994" spans="1:1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6">
        <v>1758.63</v>
      </c>
      <c r="O994" s="7" t="str">
        <f t="shared" si="15"/>
        <v>Normal</v>
      </c>
    </row>
    <row r="995" spans="1:1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6">
        <v>802.34999999999991</v>
      </c>
      <c r="O995" s="7" t="str">
        <f t="shared" si="15"/>
        <v>Normal</v>
      </c>
    </row>
    <row r="996" spans="1:1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6">
        <v>2462.6</v>
      </c>
      <c r="O996" s="7" t="str">
        <f t="shared" si="15"/>
        <v>Normal</v>
      </c>
    </row>
    <row r="997" spans="1:1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6">
        <v>226.58</v>
      </c>
      <c r="O997" s="7" t="str">
        <f t="shared" si="15"/>
        <v>Normal</v>
      </c>
    </row>
    <row r="998" spans="1:1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6">
        <v>1895.44</v>
      </c>
      <c r="O998" s="7" t="str">
        <f t="shared" si="15"/>
        <v>Normal</v>
      </c>
    </row>
    <row r="999" spans="1:1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6">
        <v>1334.25</v>
      </c>
      <c r="O999" s="7" t="str">
        <f t="shared" si="15"/>
        <v>Normal</v>
      </c>
    </row>
    <row r="1000" spans="1:1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6">
        <v>367.34</v>
      </c>
      <c r="O1000" s="7" t="str">
        <f t="shared" si="15"/>
        <v>Normal</v>
      </c>
    </row>
    <row r="1001" spans="1:1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6">
        <v>483.38</v>
      </c>
      <c r="O1001" s="7" t="str">
        <f t="shared" si="15"/>
        <v>Normal</v>
      </c>
    </row>
    <row r="1002" spans="1:1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6">
        <v>1304.6500000000001</v>
      </c>
      <c r="O1002" s="7" t="str">
        <f t="shared" si="15"/>
        <v>Normal</v>
      </c>
    </row>
    <row r="1003" spans="1:1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s="3" t="s">
        <v>4283</v>
      </c>
      <c r="M1003" t="s">
        <v>4279</v>
      </c>
      <c r="N1003" s="6">
        <v>507.36</v>
      </c>
      <c r="O1003" s="7" t="str">
        <f t="shared" si="15"/>
        <v>Normal</v>
      </c>
    </row>
    <row r="1004" spans="1:1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6">
        <v>2799.52</v>
      </c>
      <c r="O1004" s="7" t="str">
        <f t="shared" si="15"/>
        <v>Normal</v>
      </c>
    </row>
    <row r="1005" spans="1:1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6">
        <v>1599.85</v>
      </c>
      <c r="O1005" s="7" t="str">
        <f t="shared" si="15"/>
        <v>Normal</v>
      </c>
    </row>
    <row r="1006" spans="1:1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6">
        <v>987.64</v>
      </c>
      <c r="O1006" s="7" t="str">
        <f t="shared" si="15"/>
        <v>Normal</v>
      </c>
    </row>
    <row r="1007" spans="1:1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s="3" t="s">
        <v>4283</v>
      </c>
      <c r="M1007" t="s">
        <v>4282</v>
      </c>
      <c r="N1007" s="6">
        <v>1178.55</v>
      </c>
      <c r="O1007" s="7" t="str">
        <f t="shared" si="15"/>
        <v>Normal</v>
      </c>
    </row>
    <row r="1008" spans="1:1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6">
        <v>2104.9</v>
      </c>
      <c r="O1008" s="7" t="str">
        <f t="shared" si="15"/>
        <v>Normal</v>
      </c>
    </row>
    <row r="1009" spans="1:1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6">
        <v>146.52000000000001</v>
      </c>
      <c r="O1009" s="7" t="str">
        <f t="shared" si="15"/>
        <v>Normal</v>
      </c>
    </row>
    <row r="1010" spans="1:1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6">
        <v>1232.6400000000001</v>
      </c>
      <c r="O1010" s="7" t="str">
        <f t="shared" si="15"/>
        <v>Normal</v>
      </c>
    </row>
    <row r="1011" spans="1:1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6">
        <v>352.92</v>
      </c>
      <c r="O1011" s="7" t="str">
        <f t="shared" si="15"/>
        <v>Normal</v>
      </c>
    </row>
    <row r="1012" spans="1:1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6">
        <v>1978.71</v>
      </c>
      <c r="O1012" s="7" t="str">
        <f t="shared" si="15"/>
        <v>Normal</v>
      </c>
    </row>
    <row r="1013" spans="1:1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s="3" t="s">
        <v>4283</v>
      </c>
      <c r="M1013" t="s">
        <v>4282</v>
      </c>
      <c r="N1013" s="6">
        <v>956.72</v>
      </c>
      <c r="O1013" s="7" t="str">
        <f t="shared" si="15"/>
        <v>Normal</v>
      </c>
    </row>
    <row r="1014" spans="1:1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s="3" t="s">
        <v>4283</v>
      </c>
      <c r="M1014" t="s">
        <v>4281</v>
      </c>
      <c r="N1014" s="6">
        <v>120.2</v>
      </c>
      <c r="O1014" s="7" t="str">
        <f t="shared" si="15"/>
        <v>Normal</v>
      </c>
    </row>
    <row r="1015" spans="1:1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6">
        <v>1202.24</v>
      </c>
      <c r="O1015" s="7" t="str">
        <f t="shared" si="15"/>
        <v>Normal</v>
      </c>
    </row>
    <row r="1016" spans="1:1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6">
        <v>1132.25</v>
      </c>
      <c r="O1016" s="7" t="str">
        <f t="shared" si="15"/>
        <v>Normal</v>
      </c>
    </row>
    <row r="1017" spans="1:1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6">
        <v>698.8</v>
      </c>
      <c r="O1017" s="7" t="str">
        <f t="shared" si="15"/>
        <v>Normal</v>
      </c>
    </row>
    <row r="1018" spans="1:1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6">
        <v>1343.9</v>
      </c>
      <c r="O1018" s="7" t="str">
        <f t="shared" si="15"/>
        <v>Normal</v>
      </c>
    </row>
    <row r="1019" spans="1:1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6">
        <v>1361.7</v>
      </c>
      <c r="O1019" s="7" t="str">
        <f t="shared" si="15"/>
        <v>Normal</v>
      </c>
    </row>
    <row r="1020" spans="1:1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s="3" t="s">
        <v>4283</v>
      </c>
      <c r="M1020" t="s">
        <v>4278</v>
      </c>
      <c r="N1020" s="6">
        <v>547.43999999999994</v>
      </c>
      <c r="O1020" s="7" t="str">
        <f t="shared" si="15"/>
        <v>Normal</v>
      </c>
    </row>
    <row r="1021" spans="1:1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6">
        <v>277.08999999999997</v>
      </c>
      <c r="O1021" s="7" t="str">
        <f t="shared" si="15"/>
        <v>Normal</v>
      </c>
    </row>
    <row r="1022" spans="1:1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6">
        <v>53</v>
      </c>
      <c r="O1022" s="7" t="str">
        <f t="shared" si="15"/>
        <v>Normal</v>
      </c>
    </row>
    <row r="1023" spans="1:1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6">
        <v>945.81</v>
      </c>
      <c r="O1023" s="7" t="str">
        <f t="shared" si="15"/>
        <v>Normal</v>
      </c>
    </row>
    <row r="1024" spans="1:1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6">
        <v>1352.94</v>
      </c>
      <c r="O1024" s="7" t="str">
        <f t="shared" si="15"/>
        <v>Normal</v>
      </c>
    </row>
    <row r="1025" spans="1:1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s="3" t="s">
        <v>4283</v>
      </c>
      <c r="M1025" t="s">
        <v>4279</v>
      </c>
      <c r="N1025" s="6">
        <v>1168.3499999999999</v>
      </c>
      <c r="O1025" s="7" t="str">
        <f t="shared" si="15"/>
        <v>Normal</v>
      </c>
    </row>
    <row r="1026" spans="1:1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6">
        <v>1103.25</v>
      </c>
      <c r="O1026" s="7" t="str">
        <f t="shared" si="15"/>
        <v>Normal</v>
      </c>
    </row>
    <row r="1027" spans="1:1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6">
        <v>23.53</v>
      </c>
      <c r="O1027" s="7" t="str">
        <f t="shared" ref="O1027:O1090" si="16">IF(OR(N1027&lt;-1341.41,N1027&gt;3330.41),"Outlier","Normal")</f>
        <v>Normal</v>
      </c>
    </row>
    <row r="1028" spans="1:1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6">
        <v>677.48</v>
      </c>
      <c r="O1028" s="7" t="str">
        <f t="shared" si="16"/>
        <v>Normal</v>
      </c>
    </row>
    <row r="1029" spans="1:1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s="3" t="s">
        <v>4283</v>
      </c>
      <c r="M1029" t="s">
        <v>4282</v>
      </c>
      <c r="N1029" s="6">
        <v>2219.3200000000002</v>
      </c>
      <c r="O1029" s="7" t="str">
        <f t="shared" si="16"/>
        <v>Normal</v>
      </c>
    </row>
    <row r="1030" spans="1:1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s="3" t="s">
        <v>4283</v>
      </c>
      <c r="M1030" t="s">
        <v>4278</v>
      </c>
      <c r="N1030" s="6">
        <v>1761.24</v>
      </c>
      <c r="O1030" s="7" t="str">
        <f t="shared" si="16"/>
        <v>Normal</v>
      </c>
    </row>
    <row r="1031" spans="1:1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6">
        <v>87.06</v>
      </c>
      <c r="O1031" s="7" t="str">
        <f t="shared" si="16"/>
        <v>Normal</v>
      </c>
    </row>
    <row r="1032" spans="1:1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6">
        <v>981.12</v>
      </c>
      <c r="O1032" s="7" t="str">
        <f t="shared" si="16"/>
        <v>Normal</v>
      </c>
    </row>
    <row r="1033" spans="1:1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6">
        <v>3322.55</v>
      </c>
      <c r="O1033" s="7" t="str">
        <f t="shared" si="16"/>
        <v>Normal</v>
      </c>
    </row>
    <row r="1034" spans="1:1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6">
        <v>618.67999999999995</v>
      </c>
      <c r="O1034" s="7" t="str">
        <f t="shared" si="16"/>
        <v>Normal</v>
      </c>
    </row>
    <row r="1035" spans="1:1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6">
        <v>370.85</v>
      </c>
      <c r="O1035" s="7" t="str">
        <f t="shared" si="16"/>
        <v>Normal</v>
      </c>
    </row>
    <row r="1036" spans="1:1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6">
        <v>2071.92</v>
      </c>
      <c r="O1036" s="7" t="str">
        <f t="shared" si="16"/>
        <v>Normal</v>
      </c>
    </row>
    <row r="1037" spans="1:1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s="3" t="s">
        <v>4283</v>
      </c>
      <c r="M1037" t="s">
        <v>4279</v>
      </c>
      <c r="N1037" s="6">
        <v>2024.44</v>
      </c>
      <c r="O1037" s="7" t="str">
        <f t="shared" si="16"/>
        <v>Normal</v>
      </c>
    </row>
    <row r="1038" spans="1:1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6">
        <v>1241.49</v>
      </c>
      <c r="O1038" s="7" t="str">
        <f t="shared" si="16"/>
        <v>Normal</v>
      </c>
    </row>
    <row r="1039" spans="1:1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6">
        <v>249.81</v>
      </c>
      <c r="O1039" s="7" t="str">
        <f t="shared" si="16"/>
        <v>Normal</v>
      </c>
    </row>
    <row r="1040" spans="1:1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s="3" t="s">
        <v>4283</v>
      </c>
      <c r="M1040" t="s">
        <v>4281</v>
      </c>
      <c r="N1040" s="6">
        <v>1087.5899999999999</v>
      </c>
      <c r="O1040" s="7" t="str">
        <f t="shared" si="16"/>
        <v>Normal</v>
      </c>
    </row>
    <row r="1041" spans="1:1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6">
        <v>598.46</v>
      </c>
      <c r="O1041" s="7" t="str">
        <f t="shared" si="16"/>
        <v>Normal</v>
      </c>
    </row>
    <row r="1042" spans="1:1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6">
        <v>536.07000000000005</v>
      </c>
      <c r="O1042" s="7" t="str">
        <f t="shared" si="16"/>
        <v>Normal</v>
      </c>
    </row>
    <row r="1043" spans="1:1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6">
        <v>2235.6</v>
      </c>
      <c r="O1043" s="7" t="str">
        <f t="shared" si="16"/>
        <v>Normal</v>
      </c>
    </row>
    <row r="1044" spans="1:1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6">
        <v>819.5</v>
      </c>
      <c r="O1044" s="7" t="str">
        <f t="shared" si="16"/>
        <v>Normal</v>
      </c>
    </row>
    <row r="1045" spans="1:1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s="3" t="s">
        <v>4283</v>
      </c>
      <c r="M1045" t="s">
        <v>4278</v>
      </c>
      <c r="N1045" s="6">
        <v>359.92</v>
      </c>
      <c r="O1045" s="7" t="str">
        <f t="shared" si="16"/>
        <v>Normal</v>
      </c>
    </row>
    <row r="1046" spans="1:1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6">
        <v>38.49</v>
      </c>
      <c r="O1046" s="7" t="str">
        <f t="shared" si="16"/>
        <v>Normal</v>
      </c>
    </row>
    <row r="1047" spans="1:1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s="3" t="s">
        <v>4283</v>
      </c>
      <c r="M1047" t="s">
        <v>4280</v>
      </c>
      <c r="N1047" s="6">
        <v>1582</v>
      </c>
      <c r="O1047" s="7" t="str">
        <f t="shared" si="16"/>
        <v>Normal</v>
      </c>
    </row>
    <row r="1048" spans="1:1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6">
        <v>1641.45</v>
      </c>
      <c r="O1048" s="7" t="str">
        <f t="shared" si="16"/>
        <v>Normal</v>
      </c>
    </row>
    <row r="1049" spans="1:1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6">
        <v>2161.36</v>
      </c>
      <c r="O1049" s="7" t="str">
        <f t="shared" si="16"/>
        <v>Normal</v>
      </c>
    </row>
    <row r="1050" spans="1:1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s="3" t="s">
        <v>4283</v>
      </c>
      <c r="M1050" t="s">
        <v>4282</v>
      </c>
      <c r="N1050" s="6">
        <v>294.60000000000002</v>
      </c>
      <c r="O1050" s="7" t="str">
        <f t="shared" si="16"/>
        <v>Normal</v>
      </c>
    </row>
    <row r="1051" spans="1:1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s="3" t="s">
        <v>4283</v>
      </c>
      <c r="M1051" t="s">
        <v>4278</v>
      </c>
      <c r="N1051" s="6">
        <v>1959.3</v>
      </c>
      <c r="O1051" s="7" t="str">
        <f t="shared" si="16"/>
        <v>Normal</v>
      </c>
    </row>
    <row r="1052" spans="1:1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s="3" t="s">
        <v>4283</v>
      </c>
      <c r="M1052" t="s">
        <v>4278</v>
      </c>
      <c r="N1052" s="6">
        <v>348.5</v>
      </c>
      <c r="O1052" s="7" t="str">
        <f t="shared" si="16"/>
        <v>Normal</v>
      </c>
    </row>
    <row r="1053" spans="1:1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6">
        <v>132.15</v>
      </c>
      <c r="O1053" s="7" t="str">
        <f t="shared" si="16"/>
        <v>Normal</v>
      </c>
    </row>
    <row r="1054" spans="1:1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6">
        <v>531.74</v>
      </c>
      <c r="O1054" s="7" t="str">
        <f t="shared" si="16"/>
        <v>Normal</v>
      </c>
    </row>
    <row r="1055" spans="1:1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6">
        <v>993.24</v>
      </c>
      <c r="O1055" s="7" t="str">
        <f t="shared" si="16"/>
        <v>Normal</v>
      </c>
    </row>
    <row r="1056" spans="1:1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6">
        <v>660.66</v>
      </c>
      <c r="O1056" s="7" t="str">
        <f t="shared" si="16"/>
        <v>Normal</v>
      </c>
    </row>
    <row r="1057" spans="1:1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6">
        <v>1099.28</v>
      </c>
      <c r="O1057" s="7" t="str">
        <f t="shared" si="16"/>
        <v>Normal</v>
      </c>
    </row>
    <row r="1058" spans="1:1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6">
        <v>972.7</v>
      </c>
      <c r="O1058" s="7" t="str">
        <f t="shared" si="16"/>
        <v>Normal</v>
      </c>
    </row>
    <row r="1059" spans="1:1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6">
        <v>1286.6400000000001</v>
      </c>
      <c r="O1059" s="7" t="str">
        <f t="shared" si="16"/>
        <v>Normal</v>
      </c>
    </row>
    <row r="1060" spans="1:1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6">
        <v>824.28</v>
      </c>
      <c r="O1060" s="7" t="str">
        <f t="shared" si="16"/>
        <v>Normal</v>
      </c>
    </row>
    <row r="1061" spans="1:1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6">
        <v>265.64</v>
      </c>
      <c r="O1061" s="7" t="str">
        <f t="shared" si="16"/>
        <v>Normal</v>
      </c>
    </row>
    <row r="1062" spans="1:1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6">
        <v>546.86</v>
      </c>
      <c r="O1062" s="7" t="str">
        <f t="shared" si="16"/>
        <v>Normal</v>
      </c>
    </row>
    <row r="1063" spans="1:1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6">
        <v>658.5</v>
      </c>
      <c r="O1063" s="7" t="str">
        <f t="shared" si="16"/>
        <v>Normal</v>
      </c>
    </row>
    <row r="1064" spans="1:1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s="3" t="s">
        <v>4283</v>
      </c>
      <c r="M1064" t="s">
        <v>4281</v>
      </c>
      <c r="N1064" s="6">
        <v>427.6</v>
      </c>
      <c r="O1064" s="7" t="str">
        <f t="shared" si="16"/>
        <v>Normal</v>
      </c>
    </row>
    <row r="1065" spans="1:1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6">
        <v>641.36</v>
      </c>
      <c r="O1065" s="7" t="str">
        <f t="shared" si="16"/>
        <v>Normal</v>
      </c>
    </row>
    <row r="1066" spans="1:1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6">
        <v>795.24</v>
      </c>
      <c r="O1066" s="7" t="str">
        <f t="shared" si="16"/>
        <v>Normal</v>
      </c>
    </row>
    <row r="1067" spans="1:1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6">
        <v>3334</v>
      </c>
      <c r="O1067" s="7" t="str">
        <f t="shared" si="16"/>
        <v>Outlier</v>
      </c>
    </row>
    <row r="1068" spans="1:1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6">
        <v>355.09</v>
      </c>
      <c r="O1068" s="7" t="str">
        <f t="shared" si="16"/>
        <v>Normal</v>
      </c>
    </row>
    <row r="1069" spans="1:1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s="3" t="s">
        <v>4283</v>
      </c>
      <c r="M1069" t="s">
        <v>4278</v>
      </c>
      <c r="N1069" s="6">
        <v>632.4</v>
      </c>
      <c r="O1069" s="7" t="str">
        <f t="shared" si="16"/>
        <v>Normal</v>
      </c>
    </row>
    <row r="1070" spans="1:1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6">
        <v>133.38999999999999</v>
      </c>
      <c r="O1070" s="7" t="str">
        <f t="shared" si="16"/>
        <v>Normal</v>
      </c>
    </row>
    <row r="1071" spans="1:1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s="3" t="s">
        <v>4283</v>
      </c>
      <c r="M1071" t="s">
        <v>4281</v>
      </c>
      <c r="N1071" s="6">
        <v>454.23</v>
      </c>
      <c r="O1071" s="7" t="str">
        <f t="shared" si="16"/>
        <v>Normal</v>
      </c>
    </row>
    <row r="1072" spans="1:1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s="3" t="s">
        <v>4283</v>
      </c>
      <c r="M1072" t="s">
        <v>4280</v>
      </c>
      <c r="N1072" s="6">
        <v>1965.16</v>
      </c>
      <c r="O1072" s="7" t="str">
        <f t="shared" si="16"/>
        <v>Normal</v>
      </c>
    </row>
    <row r="1073" spans="1:1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s="3" t="s">
        <v>4283</v>
      </c>
      <c r="M1073" t="s">
        <v>4282</v>
      </c>
      <c r="N1073" s="6">
        <v>510.28</v>
      </c>
      <c r="O1073" s="7" t="str">
        <f t="shared" si="16"/>
        <v>Normal</v>
      </c>
    </row>
    <row r="1074" spans="1:1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6">
        <v>392.61</v>
      </c>
      <c r="O1074" s="7" t="str">
        <f t="shared" si="16"/>
        <v>Normal</v>
      </c>
    </row>
    <row r="1075" spans="1:1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s="3" t="s">
        <v>4283</v>
      </c>
      <c r="M1075" t="s">
        <v>4281</v>
      </c>
      <c r="N1075" s="6">
        <v>1448.24</v>
      </c>
      <c r="O1075" s="7" t="str">
        <f t="shared" si="16"/>
        <v>Normal</v>
      </c>
    </row>
    <row r="1076" spans="1:1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s="3" t="s">
        <v>4283</v>
      </c>
      <c r="M1076" t="s">
        <v>4282</v>
      </c>
      <c r="N1076" s="6">
        <v>222.73</v>
      </c>
      <c r="O1076" s="7" t="str">
        <f t="shared" si="16"/>
        <v>Normal</v>
      </c>
    </row>
    <row r="1077" spans="1:1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6">
        <v>1105.26</v>
      </c>
      <c r="O1077" s="7" t="str">
        <f t="shared" si="16"/>
        <v>Normal</v>
      </c>
    </row>
    <row r="1078" spans="1:1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s="3" t="s">
        <v>4283</v>
      </c>
      <c r="M1078" t="s">
        <v>4279</v>
      </c>
      <c r="N1078" s="6">
        <v>2746.44</v>
      </c>
      <c r="O1078" s="7" t="str">
        <f t="shared" si="16"/>
        <v>Normal</v>
      </c>
    </row>
    <row r="1079" spans="1:1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6">
        <v>915.48</v>
      </c>
      <c r="O1079" s="7" t="str">
        <f t="shared" si="16"/>
        <v>Normal</v>
      </c>
    </row>
    <row r="1080" spans="1:1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6">
        <v>41.09</v>
      </c>
      <c r="O1080" s="7" t="str">
        <f t="shared" si="16"/>
        <v>Normal</v>
      </c>
    </row>
    <row r="1081" spans="1:1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s="3" t="s">
        <v>4283</v>
      </c>
      <c r="M1081" t="s">
        <v>4280</v>
      </c>
      <c r="N1081" s="6">
        <v>3170</v>
      </c>
      <c r="O1081" s="7" t="str">
        <f t="shared" si="16"/>
        <v>Normal</v>
      </c>
    </row>
    <row r="1082" spans="1:1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s="3" t="s">
        <v>4283</v>
      </c>
      <c r="M1082" t="s">
        <v>4279</v>
      </c>
      <c r="N1082" s="6">
        <v>2323.6999999999998</v>
      </c>
      <c r="O1082" s="7" t="str">
        <f t="shared" si="16"/>
        <v>Normal</v>
      </c>
    </row>
    <row r="1083" spans="1:1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6">
        <v>1702.4</v>
      </c>
      <c r="O1083" s="7" t="str">
        <f t="shared" si="16"/>
        <v>Normal</v>
      </c>
    </row>
    <row r="1084" spans="1:1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6">
        <v>1719.66</v>
      </c>
      <c r="O1084" s="7" t="str">
        <f t="shared" si="16"/>
        <v>Normal</v>
      </c>
    </row>
    <row r="1085" spans="1:1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6">
        <v>123.28</v>
      </c>
      <c r="O1085" s="7" t="str">
        <f t="shared" si="16"/>
        <v>Normal</v>
      </c>
    </row>
    <row r="1086" spans="1:1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6">
        <v>70.819999999999993</v>
      </c>
      <c r="O1086" s="7" t="str">
        <f t="shared" si="16"/>
        <v>Normal</v>
      </c>
    </row>
    <row r="1087" spans="1:1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6">
        <v>1293.3800000000001</v>
      </c>
      <c r="O1087" s="7" t="str">
        <f t="shared" si="16"/>
        <v>Normal</v>
      </c>
    </row>
    <row r="1088" spans="1:1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6">
        <v>1026.8399999999999</v>
      </c>
      <c r="O1088" s="7" t="str">
        <f t="shared" si="16"/>
        <v>Normal</v>
      </c>
    </row>
    <row r="1089" spans="1:1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6">
        <v>2772.28</v>
      </c>
      <c r="O1089" s="7" t="str">
        <f t="shared" si="16"/>
        <v>Normal</v>
      </c>
    </row>
    <row r="1090" spans="1:1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6">
        <v>1474.29</v>
      </c>
      <c r="O1090" s="7" t="str">
        <f t="shared" si="16"/>
        <v>Normal</v>
      </c>
    </row>
    <row r="1091" spans="1:1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s="3" t="s">
        <v>4283</v>
      </c>
      <c r="M1091" t="s">
        <v>4278</v>
      </c>
      <c r="N1091" s="6">
        <v>1199.48</v>
      </c>
      <c r="O1091" s="7" t="str">
        <f t="shared" ref="O1091:O1154" si="17">IF(OR(N1091&lt;-1341.41,N1091&gt;3330.41),"Outlier","Normal")</f>
        <v>Normal</v>
      </c>
    </row>
    <row r="1092" spans="1:1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s="3" t="s">
        <v>4283</v>
      </c>
      <c r="M1092" t="s">
        <v>4278</v>
      </c>
      <c r="N1092" s="6">
        <v>1300.5</v>
      </c>
      <c r="O1092" s="7" t="str">
        <f t="shared" si="17"/>
        <v>Normal</v>
      </c>
    </row>
    <row r="1093" spans="1:1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s="3" t="s">
        <v>4283</v>
      </c>
      <c r="M1093" t="s">
        <v>4280</v>
      </c>
      <c r="N1093" s="6">
        <v>628.43999999999994</v>
      </c>
      <c r="O1093" s="7" t="str">
        <f t="shared" si="17"/>
        <v>Normal</v>
      </c>
    </row>
    <row r="1094" spans="1:1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6">
        <v>1046</v>
      </c>
      <c r="O1094" s="7" t="str">
        <f t="shared" si="17"/>
        <v>Normal</v>
      </c>
    </row>
    <row r="1095" spans="1:1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6">
        <v>789.44</v>
      </c>
      <c r="O1095" s="7" t="str">
        <f t="shared" si="17"/>
        <v>Normal</v>
      </c>
    </row>
    <row r="1096" spans="1:1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6">
        <v>2595.64</v>
      </c>
      <c r="O1096" s="7" t="str">
        <f t="shared" si="17"/>
        <v>Normal</v>
      </c>
    </row>
    <row r="1097" spans="1:1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6">
        <v>883.08</v>
      </c>
      <c r="O1097" s="7" t="str">
        <f t="shared" si="17"/>
        <v>Normal</v>
      </c>
    </row>
    <row r="1098" spans="1:1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s="3" t="s">
        <v>4283</v>
      </c>
      <c r="M1098" t="s">
        <v>4281</v>
      </c>
      <c r="N1098" s="6">
        <v>929.84</v>
      </c>
      <c r="O1098" s="7" t="str">
        <f t="shared" si="17"/>
        <v>Normal</v>
      </c>
    </row>
    <row r="1099" spans="1:1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6">
        <v>2532.25</v>
      </c>
      <c r="O1099" s="7" t="str">
        <f t="shared" si="17"/>
        <v>Normal</v>
      </c>
    </row>
    <row r="1100" spans="1:1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s="3" t="s">
        <v>4283</v>
      </c>
      <c r="M1100" t="s">
        <v>4280</v>
      </c>
      <c r="N1100" s="6">
        <v>1023.44</v>
      </c>
      <c r="O1100" s="7" t="str">
        <f t="shared" si="17"/>
        <v>Normal</v>
      </c>
    </row>
    <row r="1101" spans="1:1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6">
        <v>250.46</v>
      </c>
      <c r="O1101" s="7" t="str">
        <f t="shared" si="17"/>
        <v>Normal</v>
      </c>
    </row>
    <row r="1102" spans="1:1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6">
        <v>190.55</v>
      </c>
      <c r="O1102" s="7" t="str">
        <f t="shared" si="17"/>
        <v>Normal</v>
      </c>
    </row>
    <row r="1103" spans="1:1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6">
        <v>485.91</v>
      </c>
      <c r="O1103" s="7" t="str">
        <f t="shared" si="17"/>
        <v>Normal</v>
      </c>
    </row>
    <row r="1104" spans="1:1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s="3" t="s">
        <v>4283</v>
      </c>
      <c r="M1104" t="s">
        <v>4278</v>
      </c>
      <c r="N1104" s="6">
        <v>1388.68</v>
      </c>
      <c r="O1104" s="7" t="str">
        <f t="shared" si="17"/>
        <v>Normal</v>
      </c>
    </row>
    <row r="1105" spans="1:1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s="3" t="s">
        <v>4283</v>
      </c>
      <c r="M1105" t="s">
        <v>4282</v>
      </c>
      <c r="N1105" s="6">
        <v>1105.28</v>
      </c>
      <c r="O1105" s="7" t="str">
        <f t="shared" si="17"/>
        <v>Normal</v>
      </c>
    </row>
    <row r="1106" spans="1:1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s="3" t="s">
        <v>4283</v>
      </c>
      <c r="M1106" t="s">
        <v>4278</v>
      </c>
      <c r="N1106" s="6">
        <v>1259.04</v>
      </c>
      <c r="O1106" s="7" t="str">
        <f t="shared" si="17"/>
        <v>Normal</v>
      </c>
    </row>
    <row r="1107" spans="1:1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6">
        <v>1427.07</v>
      </c>
      <c r="O1107" s="7" t="str">
        <f t="shared" si="17"/>
        <v>Normal</v>
      </c>
    </row>
    <row r="1108" spans="1:1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6">
        <v>372.8</v>
      </c>
      <c r="O1108" s="7" t="str">
        <f t="shared" si="17"/>
        <v>Normal</v>
      </c>
    </row>
    <row r="1109" spans="1:1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6">
        <v>126.42</v>
      </c>
      <c r="O1109" s="7" t="str">
        <f t="shared" si="17"/>
        <v>Normal</v>
      </c>
    </row>
    <row r="1110" spans="1:1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6">
        <v>634.94000000000005</v>
      </c>
      <c r="O1110" s="7" t="str">
        <f t="shared" si="17"/>
        <v>Normal</v>
      </c>
    </row>
    <row r="1111" spans="1:1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6">
        <v>309.88</v>
      </c>
      <c r="O1111" s="7" t="str">
        <f t="shared" si="17"/>
        <v>Normal</v>
      </c>
    </row>
    <row r="1112" spans="1:1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6">
        <v>252.93</v>
      </c>
      <c r="O1112" s="7" t="str">
        <f t="shared" si="17"/>
        <v>Normal</v>
      </c>
    </row>
    <row r="1113" spans="1:1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6">
        <v>937.8</v>
      </c>
      <c r="O1113" s="7" t="str">
        <f t="shared" si="17"/>
        <v>Normal</v>
      </c>
    </row>
    <row r="1114" spans="1:1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6">
        <v>356.81</v>
      </c>
      <c r="O1114" s="7" t="str">
        <f t="shared" si="17"/>
        <v>Normal</v>
      </c>
    </row>
    <row r="1115" spans="1:1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s="3" t="s">
        <v>4283</v>
      </c>
      <c r="M1115" t="s">
        <v>4282</v>
      </c>
      <c r="N1115" s="6">
        <v>839.96</v>
      </c>
      <c r="O1115" s="7" t="str">
        <f t="shared" si="17"/>
        <v>Normal</v>
      </c>
    </row>
    <row r="1116" spans="1:1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s="3" t="s">
        <v>4283</v>
      </c>
      <c r="M1116" t="s">
        <v>4282</v>
      </c>
      <c r="N1116" s="6">
        <v>1979.64</v>
      </c>
      <c r="O1116" s="7" t="str">
        <f t="shared" si="17"/>
        <v>Normal</v>
      </c>
    </row>
    <row r="1117" spans="1:1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s="3" t="s">
        <v>4283</v>
      </c>
      <c r="M1117" t="s">
        <v>4282</v>
      </c>
      <c r="N1117" s="6">
        <v>672.64</v>
      </c>
      <c r="O1117" s="7" t="str">
        <f t="shared" si="17"/>
        <v>Normal</v>
      </c>
    </row>
    <row r="1118" spans="1:1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6">
        <v>1062.98</v>
      </c>
      <c r="O1118" s="7" t="str">
        <f t="shared" si="17"/>
        <v>Normal</v>
      </c>
    </row>
    <row r="1119" spans="1:1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6">
        <v>1765.32</v>
      </c>
      <c r="O1119" s="7" t="str">
        <f t="shared" si="17"/>
        <v>Normal</v>
      </c>
    </row>
    <row r="1120" spans="1:1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s="3" t="s">
        <v>4283</v>
      </c>
      <c r="M1120" t="s">
        <v>4280</v>
      </c>
      <c r="N1120" s="6">
        <v>754.43999999999994</v>
      </c>
      <c r="O1120" s="7" t="str">
        <f t="shared" si="17"/>
        <v>Normal</v>
      </c>
    </row>
    <row r="1121" spans="1:1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6">
        <v>684.65</v>
      </c>
      <c r="O1121" s="7" t="str">
        <f t="shared" si="17"/>
        <v>Normal</v>
      </c>
    </row>
    <row r="1122" spans="1:1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s="3" t="s">
        <v>4283</v>
      </c>
      <c r="M1122" t="s">
        <v>4281</v>
      </c>
      <c r="N1122" s="6">
        <v>195.86</v>
      </c>
      <c r="O1122" s="7" t="str">
        <f t="shared" si="17"/>
        <v>Normal</v>
      </c>
    </row>
    <row r="1123" spans="1:1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6">
        <v>151.02000000000001</v>
      </c>
      <c r="O1123" s="7" t="str">
        <f t="shared" si="17"/>
        <v>Normal</v>
      </c>
    </row>
    <row r="1124" spans="1:1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s="3" t="s">
        <v>4283</v>
      </c>
      <c r="M1124" t="s">
        <v>4281</v>
      </c>
      <c r="N1124" s="6">
        <v>3390.95</v>
      </c>
      <c r="O1124" s="7" t="str">
        <f t="shared" si="17"/>
        <v>Outlier</v>
      </c>
    </row>
    <row r="1125" spans="1:1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6">
        <v>1662.75</v>
      </c>
      <c r="O1125" s="7" t="str">
        <f t="shared" si="17"/>
        <v>Normal</v>
      </c>
    </row>
    <row r="1126" spans="1:1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s="3" t="s">
        <v>4283</v>
      </c>
      <c r="M1126" t="s">
        <v>4278</v>
      </c>
      <c r="N1126" s="6">
        <v>2307.48</v>
      </c>
      <c r="O1126" s="7" t="str">
        <f t="shared" si="17"/>
        <v>Normal</v>
      </c>
    </row>
    <row r="1127" spans="1:1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6">
        <v>1633.44</v>
      </c>
      <c r="O1127" s="7" t="str">
        <f t="shared" si="17"/>
        <v>Normal</v>
      </c>
    </row>
    <row r="1128" spans="1:1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6">
        <v>950.55000000000007</v>
      </c>
      <c r="O1128" s="7" t="str">
        <f t="shared" si="17"/>
        <v>Normal</v>
      </c>
    </row>
    <row r="1129" spans="1:1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6">
        <v>1808.25</v>
      </c>
      <c r="O1129" s="7" t="str">
        <f t="shared" si="17"/>
        <v>Normal</v>
      </c>
    </row>
    <row r="1130" spans="1:1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6">
        <v>1940.37</v>
      </c>
      <c r="O1130" s="7" t="str">
        <f t="shared" si="17"/>
        <v>Normal</v>
      </c>
    </row>
    <row r="1131" spans="1:1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6">
        <v>1674.84</v>
      </c>
      <c r="O1131" s="7" t="str">
        <f t="shared" si="17"/>
        <v>Normal</v>
      </c>
    </row>
    <row r="1132" spans="1:1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6">
        <v>646.9</v>
      </c>
      <c r="O1132" s="7" t="str">
        <f t="shared" si="17"/>
        <v>Normal</v>
      </c>
    </row>
    <row r="1133" spans="1:1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6">
        <v>694.5</v>
      </c>
      <c r="O1133" s="7" t="str">
        <f t="shared" si="17"/>
        <v>Normal</v>
      </c>
    </row>
    <row r="1134" spans="1:1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6">
        <v>674.64</v>
      </c>
      <c r="O1134" s="7" t="str">
        <f t="shared" si="17"/>
        <v>Normal</v>
      </c>
    </row>
    <row r="1135" spans="1:1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6">
        <v>935.82</v>
      </c>
      <c r="O1135" s="7" t="str">
        <f t="shared" si="17"/>
        <v>Normal</v>
      </c>
    </row>
    <row r="1136" spans="1:1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6">
        <v>153.12</v>
      </c>
      <c r="O1136" s="7" t="str">
        <f t="shared" si="17"/>
        <v>Normal</v>
      </c>
    </row>
    <row r="1137" spans="1:1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6">
        <v>146.82</v>
      </c>
      <c r="O1137" s="7" t="str">
        <f t="shared" si="17"/>
        <v>Normal</v>
      </c>
    </row>
    <row r="1138" spans="1:1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6">
        <v>2004.99</v>
      </c>
      <c r="O1138" s="7" t="str">
        <f t="shared" si="17"/>
        <v>Normal</v>
      </c>
    </row>
    <row r="1139" spans="1:1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6">
        <v>1640.84</v>
      </c>
      <c r="O1139" s="7" t="str">
        <f t="shared" si="17"/>
        <v>Normal</v>
      </c>
    </row>
    <row r="1140" spans="1:1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s="3" t="s">
        <v>4283</v>
      </c>
      <c r="M1140" t="s">
        <v>4278</v>
      </c>
      <c r="N1140" s="6">
        <v>1177.6400000000001</v>
      </c>
      <c r="O1140" s="7" t="str">
        <f t="shared" si="17"/>
        <v>Normal</v>
      </c>
    </row>
    <row r="1141" spans="1:1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6">
        <v>1505.46</v>
      </c>
      <c r="O1141" s="7" t="str">
        <f t="shared" si="17"/>
        <v>Normal</v>
      </c>
    </row>
    <row r="1142" spans="1:1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s="3" t="s">
        <v>4283</v>
      </c>
      <c r="M1142" t="s">
        <v>4279</v>
      </c>
      <c r="N1142" s="6">
        <v>1105.6600000000001</v>
      </c>
      <c r="O1142" s="7" t="str">
        <f t="shared" si="17"/>
        <v>Normal</v>
      </c>
    </row>
    <row r="1143" spans="1:1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s="3" t="s">
        <v>4283</v>
      </c>
      <c r="M1143" t="s">
        <v>4280</v>
      </c>
      <c r="N1143" s="6">
        <v>1495.98</v>
      </c>
      <c r="O1143" s="7" t="str">
        <f t="shared" si="17"/>
        <v>Normal</v>
      </c>
    </row>
    <row r="1144" spans="1:1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s="3" t="s">
        <v>4283</v>
      </c>
      <c r="M1144" t="s">
        <v>4280</v>
      </c>
      <c r="N1144" s="6">
        <v>2780.4</v>
      </c>
      <c r="O1144" s="7" t="str">
        <f t="shared" si="17"/>
        <v>Normal</v>
      </c>
    </row>
    <row r="1145" spans="1:1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s="3" t="s">
        <v>4283</v>
      </c>
      <c r="M1145" t="s">
        <v>4280</v>
      </c>
      <c r="N1145" s="6">
        <v>381.61</v>
      </c>
      <c r="O1145" s="7" t="str">
        <f t="shared" si="17"/>
        <v>Normal</v>
      </c>
    </row>
    <row r="1146" spans="1:1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s="3" t="s">
        <v>4283</v>
      </c>
      <c r="M1146" t="s">
        <v>4281</v>
      </c>
      <c r="N1146" s="6">
        <v>2539.6999999999998</v>
      </c>
      <c r="O1146" s="7" t="str">
        <f t="shared" si="17"/>
        <v>Normal</v>
      </c>
    </row>
    <row r="1147" spans="1:1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6">
        <v>1714.59</v>
      </c>
      <c r="O1147" s="7" t="str">
        <f t="shared" si="17"/>
        <v>Normal</v>
      </c>
    </row>
    <row r="1148" spans="1:1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6">
        <v>2107.1999999999998</v>
      </c>
      <c r="O1148" s="7" t="str">
        <f t="shared" si="17"/>
        <v>Normal</v>
      </c>
    </row>
    <row r="1149" spans="1:1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6">
        <v>1176.5999999999999</v>
      </c>
      <c r="O1149" s="7" t="str">
        <f t="shared" si="17"/>
        <v>Normal</v>
      </c>
    </row>
    <row r="1150" spans="1:1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6">
        <v>355.15</v>
      </c>
      <c r="O1150" s="7" t="str">
        <f t="shared" si="17"/>
        <v>Normal</v>
      </c>
    </row>
    <row r="1151" spans="1:1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6">
        <v>1390.58</v>
      </c>
      <c r="O1151" s="7" t="str">
        <f t="shared" si="17"/>
        <v>Normal</v>
      </c>
    </row>
    <row r="1152" spans="1:1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6">
        <v>1210.5999999999999</v>
      </c>
      <c r="O1152" s="7" t="str">
        <f t="shared" si="17"/>
        <v>Normal</v>
      </c>
    </row>
    <row r="1153" spans="1:1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s="3" t="s">
        <v>4283</v>
      </c>
      <c r="M1153" t="s">
        <v>4282</v>
      </c>
      <c r="N1153" s="6">
        <v>1216.08</v>
      </c>
      <c r="O1153" s="7" t="str">
        <f t="shared" si="17"/>
        <v>Normal</v>
      </c>
    </row>
    <row r="1154" spans="1:1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s="3" t="s">
        <v>4283</v>
      </c>
      <c r="M1154" t="s">
        <v>4279</v>
      </c>
      <c r="N1154" s="6">
        <v>688.36</v>
      </c>
      <c r="O1154" s="7" t="str">
        <f t="shared" si="17"/>
        <v>Normal</v>
      </c>
    </row>
    <row r="1155" spans="1:1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s="3" t="s">
        <v>4283</v>
      </c>
      <c r="M1155" t="s">
        <v>4278</v>
      </c>
      <c r="N1155" s="6">
        <v>2786.84</v>
      </c>
      <c r="O1155" s="7" t="str">
        <f t="shared" ref="O1155:O1201" si="18">IF(OR(N1155&lt;-1341.41,N1155&gt;3330.41),"Outlier","Normal")</f>
        <v>Normal</v>
      </c>
    </row>
    <row r="1156" spans="1:1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6">
        <v>595.89</v>
      </c>
      <c r="O1156" s="7" t="str">
        <f t="shared" si="18"/>
        <v>Normal</v>
      </c>
    </row>
    <row r="1157" spans="1:1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6">
        <v>2138.2800000000002</v>
      </c>
      <c r="O1157" s="7" t="str">
        <f t="shared" si="18"/>
        <v>Normal</v>
      </c>
    </row>
    <row r="1158" spans="1:1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s="3" t="s">
        <v>4283</v>
      </c>
      <c r="M1158" t="s">
        <v>4279</v>
      </c>
      <c r="N1158" s="6">
        <v>2763.12</v>
      </c>
      <c r="O1158" s="7" t="str">
        <f t="shared" si="18"/>
        <v>Normal</v>
      </c>
    </row>
    <row r="1159" spans="1:1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6">
        <v>904.65000000000009</v>
      </c>
      <c r="O1159" s="7" t="str">
        <f t="shared" si="18"/>
        <v>Normal</v>
      </c>
    </row>
    <row r="1160" spans="1:1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6">
        <v>109.68</v>
      </c>
      <c r="O1160" s="7" t="str">
        <f t="shared" si="18"/>
        <v>Normal</v>
      </c>
    </row>
    <row r="1161" spans="1:1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s="3" t="s">
        <v>4283</v>
      </c>
      <c r="M1161" t="s">
        <v>4278</v>
      </c>
      <c r="N1161" s="6">
        <v>1866.8</v>
      </c>
      <c r="O1161" s="7" t="str">
        <f t="shared" si="18"/>
        <v>Normal</v>
      </c>
    </row>
    <row r="1162" spans="1:1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6">
        <v>541.64</v>
      </c>
      <c r="O1162" s="7" t="str">
        <f t="shared" si="18"/>
        <v>Normal</v>
      </c>
    </row>
    <row r="1163" spans="1:1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6">
        <v>11.39</v>
      </c>
      <c r="O1163" s="7" t="str">
        <f t="shared" si="18"/>
        <v>Normal</v>
      </c>
    </row>
    <row r="1164" spans="1:1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6">
        <v>448.74</v>
      </c>
      <c r="O1164" s="7" t="str">
        <f t="shared" si="18"/>
        <v>Normal</v>
      </c>
    </row>
    <row r="1165" spans="1:1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6">
        <v>918.87000000000012</v>
      </c>
      <c r="O1165" s="7" t="str">
        <f t="shared" si="18"/>
        <v>Normal</v>
      </c>
    </row>
    <row r="1166" spans="1:1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6">
        <v>1577.85</v>
      </c>
      <c r="O1166" s="7" t="str">
        <f t="shared" si="18"/>
        <v>Normal</v>
      </c>
    </row>
    <row r="1167" spans="1:1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s="3" t="s">
        <v>4283</v>
      </c>
      <c r="M1167" t="s">
        <v>4282</v>
      </c>
      <c r="N1167" s="6">
        <v>671.37</v>
      </c>
      <c r="O1167" s="7" t="str">
        <f t="shared" si="18"/>
        <v>Normal</v>
      </c>
    </row>
    <row r="1168" spans="1:1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6">
        <v>973.41000000000008</v>
      </c>
      <c r="O1168" s="7" t="str">
        <f t="shared" si="18"/>
        <v>Normal</v>
      </c>
    </row>
    <row r="1169" spans="1:1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6">
        <v>185.74</v>
      </c>
      <c r="O1169" s="7" t="str">
        <f t="shared" si="18"/>
        <v>Normal</v>
      </c>
    </row>
    <row r="1170" spans="1:1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6">
        <v>662.84</v>
      </c>
      <c r="O1170" s="7" t="str">
        <f t="shared" si="18"/>
        <v>Normal</v>
      </c>
    </row>
    <row r="1171" spans="1:1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6">
        <v>525.42999999999995</v>
      </c>
      <c r="O1171" s="7" t="str">
        <f t="shared" si="18"/>
        <v>Normal</v>
      </c>
    </row>
    <row r="1172" spans="1:1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6">
        <v>1394.38</v>
      </c>
      <c r="O1172" s="7" t="str">
        <f t="shared" si="18"/>
        <v>Normal</v>
      </c>
    </row>
    <row r="1173" spans="1:1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6">
        <v>2073.6</v>
      </c>
      <c r="O1173" s="7" t="str">
        <f t="shared" si="18"/>
        <v>Normal</v>
      </c>
    </row>
    <row r="1174" spans="1:1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s="3" t="s">
        <v>4283</v>
      </c>
      <c r="M1174" t="s">
        <v>4278</v>
      </c>
      <c r="N1174" s="6">
        <v>395.88</v>
      </c>
      <c r="O1174" s="7" t="str">
        <f t="shared" si="18"/>
        <v>Normal</v>
      </c>
    </row>
    <row r="1175" spans="1:1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6">
        <v>208.36</v>
      </c>
      <c r="O1175" s="7" t="str">
        <f t="shared" si="18"/>
        <v>Normal</v>
      </c>
    </row>
    <row r="1176" spans="1:1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6">
        <v>667.02</v>
      </c>
      <c r="O1176" s="7" t="str">
        <f t="shared" si="18"/>
        <v>Normal</v>
      </c>
    </row>
    <row r="1177" spans="1:1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6">
        <v>275.22000000000003</v>
      </c>
      <c r="O1177" s="7" t="str">
        <f t="shared" si="18"/>
        <v>Normal</v>
      </c>
    </row>
    <row r="1178" spans="1:1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6">
        <v>427.66</v>
      </c>
      <c r="O1178" s="7" t="str">
        <f t="shared" si="18"/>
        <v>Normal</v>
      </c>
    </row>
    <row r="1179" spans="1:1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6">
        <v>127.55</v>
      </c>
      <c r="O1179" s="7" t="str">
        <f t="shared" si="18"/>
        <v>Normal</v>
      </c>
    </row>
    <row r="1180" spans="1:1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6">
        <v>70.239999999999995</v>
      </c>
      <c r="O1180" s="7" t="str">
        <f t="shared" si="18"/>
        <v>Normal</v>
      </c>
    </row>
    <row r="1181" spans="1:1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6">
        <v>2592.75</v>
      </c>
      <c r="O1181" s="7" t="str">
        <f t="shared" si="18"/>
        <v>Normal</v>
      </c>
    </row>
    <row r="1182" spans="1:1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6">
        <v>1193.44</v>
      </c>
      <c r="O1182" s="7" t="str">
        <f t="shared" si="18"/>
        <v>Normal</v>
      </c>
    </row>
    <row r="1183" spans="1:1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6">
        <v>476.22</v>
      </c>
      <c r="O1183" s="7" t="str">
        <f t="shared" si="18"/>
        <v>Normal</v>
      </c>
    </row>
    <row r="1184" spans="1:1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6">
        <v>840.58</v>
      </c>
      <c r="O1184" s="7" t="str">
        <f t="shared" si="18"/>
        <v>Normal</v>
      </c>
    </row>
    <row r="1185" spans="1:1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6">
        <v>281.52</v>
      </c>
      <c r="O1185" s="7" t="str">
        <f t="shared" si="18"/>
        <v>Normal</v>
      </c>
    </row>
    <row r="1186" spans="1:1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s="3" t="s">
        <v>4283</v>
      </c>
      <c r="M1186" t="s">
        <v>4282</v>
      </c>
      <c r="N1186" s="6">
        <v>204.08</v>
      </c>
      <c r="O1186" s="7" t="str">
        <f t="shared" si="18"/>
        <v>Normal</v>
      </c>
    </row>
    <row r="1187" spans="1:1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6">
        <v>343.31</v>
      </c>
      <c r="O1187" s="7" t="str">
        <f t="shared" si="18"/>
        <v>Normal</v>
      </c>
    </row>
    <row r="1188" spans="1:1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6">
        <v>163.32</v>
      </c>
      <c r="O1188" s="7" t="str">
        <f t="shared" si="18"/>
        <v>Normal</v>
      </c>
    </row>
    <row r="1189" spans="1:1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6">
        <v>369.2</v>
      </c>
      <c r="O1189" s="7" t="str">
        <f t="shared" si="18"/>
        <v>Normal</v>
      </c>
    </row>
    <row r="1190" spans="1:1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6">
        <v>742.58</v>
      </c>
      <c r="O1190" s="7" t="str">
        <f t="shared" si="18"/>
        <v>Normal</v>
      </c>
    </row>
    <row r="1191" spans="1:1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s="3" t="s">
        <v>4283</v>
      </c>
      <c r="M1191" t="s">
        <v>4279</v>
      </c>
      <c r="N1191" s="6">
        <v>1946.1</v>
      </c>
      <c r="O1191" s="7" t="str">
        <f t="shared" si="18"/>
        <v>Normal</v>
      </c>
    </row>
    <row r="1192" spans="1:1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6">
        <v>1849.17</v>
      </c>
      <c r="O1192" s="7" t="str">
        <f t="shared" si="18"/>
        <v>Normal</v>
      </c>
    </row>
    <row r="1193" spans="1:1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6">
        <v>1505.72</v>
      </c>
      <c r="O1193" s="7" t="str">
        <f t="shared" si="18"/>
        <v>Normal</v>
      </c>
    </row>
    <row r="1194" spans="1:1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s="3" t="s">
        <v>4283</v>
      </c>
      <c r="M1194" t="s">
        <v>4278</v>
      </c>
      <c r="N1194" s="6">
        <v>1298.55</v>
      </c>
      <c r="O1194" s="7" t="str">
        <f t="shared" si="18"/>
        <v>Normal</v>
      </c>
    </row>
    <row r="1195" spans="1:1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6">
        <v>687.89</v>
      </c>
      <c r="O1195" s="7" t="str">
        <f t="shared" si="18"/>
        <v>Normal</v>
      </c>
    </row>
    <row r="1196" spans="1:1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6">
        <v>568.31999999999994</v>
      </c>
      <c r="O1196" s="7" t="str">
        <f t="shared" si="18"/>
        <v>Normal</v>
      </c>
    </row>
    <row r="1197" spans="1:1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6">
        <v>107.04</v>
      </c>
      <c r="O1197" s="7" t="str">
        <f t="shared" si="18"/>
        <v>Normal</v>
      </c>
    </row>
    <row r="1198" spans="1:1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s="3" t="s">
        <v>4283</v>
      </c>
      <c r="M1198" t="s">
        <v>4281</v>
      </c>
      <c r="N1198" s="6">
        <v>1325.06</v>
      </c>
      <c r="O1198" s="7" t="str">
        <f t="shared" si="18"/>
        <v>Normal</v>
      </c>
    </row>
    <row r="1199" spans="1:1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6">
        <v>873.68</v>
      </c>
      <c r="O1199" s="7" t="str">
        <f t="shared" si="18"/>
        <v>Normal</v>
      </c>
    </row>
    <row r="1200" spans="1:1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6">
        <v>1050.08</v>
      </c>
      <c r="O1200" s="7" t="str">
        <f t="shared" si="18"/>
        <v>Normal</v>
      </c>
    </row>
    <row r="1201" spans="1:1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s="3" t="s">
        <v>4283</v>
      </c>
      <c r="M1201" t="s">
        <v>4279</v>
      </c>
      <c r="N1201" s="6">
        <v>2242.3200000000002</v>
      </c>
      <c r="O1201" s="7" t="str">
        <f t="shared" si="18"/>
        <v>Normal</v>
      </c>
    </row>
    <row r="1202" spans="1:15">
      <c r="L1202" s="4">
        <f>COUNTBLANK(L2:L1201)</f>
        <v>0</v>
      </c>
    </row>
  </sheetData>
  <autoFilter ref="A1:P1202"/>
  <conditionalFormatting sqref="A1203:XFD1048576 A1202:K1202 M1202:XFD1202 A1:XFD1201">
    <cfRule type="containsBlanks" dxfId="3" priority="2">
      <formula>LEN(TRIM(A1))=0</formula>
    </cfRule>
    <cfRule type="containsBlanks" dxfId="2" priority="3">
      <formula>LEN(TRIM(A1))=0</formula>
    </cfRule>
    <cfRule type="containsBlanks" dxfId="1" priority="4">
      <formula>LEN(TRIM(A1))=0</formula>
    </cfRule>
  </conditionalFormatting>
  <conditionalFormatting sqref="A1201:XFD1201">
    <cfRule type="containsBlanks" dxfId="0" priority="1">
      <formula>LEN(TRIM(A1201))=0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B7" sqref="B7"/>
    </sheetView>
  </sheetViews>
  <sheetFormatPr defaultRowHeight="15"/>
  <cols>
    <col min="2" max="2" width="103.42578125" bestFit="1" customWidth="1"/>
    <col min="3" max="3" width="66.7109375" bestFit="1" customWidth="1"/>
  </cols>
  <sheetData>
    <row r="1" spans="1:4" s="8" customFormat="1" ht="15.75">
      <c r="A1" s="8" t="s">
        <v>4284</v>
      </c>
      <c r="B1" s="8" t="s">
        <v>4285</v>
      </c>
      <c r="C1" s="8" t="s">
        <v>4286</v>
      </c>
      <c r="D1" s="8" t="s">
        <v>4287</v>
      </c>
    </row>
    <row r="2" spans="1:4" ht="15.75" customHeight="1">
      <c r="A2" t="s">
        <v>4288</v>
      </c>
      <c r="B2" t="s">
        <v>4293</v>
      </c>
      <c r="C2" t="s">
        <v>4298</v>
      </c>
      <c r="D2" t="s">
        <v>4304</v>
      </c>
    </row>
    <row r="3" spans="1:4">
      <c r="A3" t="s">
        <v>4289</v>
      </c>
      <c r="B3" t="s">
        <v>4294</v>
      </c>
      <c r="C3" t="s">
        <v>4299</v>
      </c>
      <c r="D3" t="s">
        <v>4303</v>
      </c>
    </row>
    <row r="4" spans="1:4">
      <c r="A4" t="s">
        <v>4290</v>
      </c>
      <c r="B4" t="s">
        <v>4295</v>
      </c>
      <c r="C4" t="s">
        <v>4300</v>
      </c>
      <c r="D4" t="s">
        <v>4303</v>
      </c>
    </row>
    <row r="5" spans="1:4">
      <c r="A5" t="s">
        <v>4291</v>
      </c>
      <c r="B5" t="s">
        <v>4296</v>
      </c>
      <c r="C5" t="s">
        <v>4301</v>
      </c>
      <c r="D5" t="s">
        <v>4303</v>
      </c>
    </row>
    <row r="6" spans="1:4">
      <c r="A6" t="s">
        <v>4292</v>
      </c>
      <c r="B6" t="s">
        <v>4297</v>
      </c>
      <c r="C6" t="s">
        <v>4302</v>
      </c>
      <c r="D6" t="s">
        <v>4303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activeCell="H7" sqref="H7"/>
    </sheetView>
  </sheetViews>
  <sheetFormatPr defaultRowHeight="15"/>
  <cols>
    <col min="1" max="1" width="12" customWidth="1"/>
    <col min="2" max="5" width="14" customWidth="1"/>
    <col min="7" max="8" width="14" customWidth="1"/>
  </cols>
  <sheetData>
    <row r="1" spans="1:10">
      <c r="A1" s="10" t="s">
        <v>4316</v>
      </c>
      <c r="B1" s="10" t="s">
        <v>4</v>
      </c>
      <c r="C1" s="10" t="s">
        <v>5</v>
      </c>
      <c r="D1" s="10" t="s">
        <v>10</v>
      </c>
      <c r="E1" s="10" t="s">
        <v>13</v>
      </c>
      <c r="G1" s="9"/>
      <c r="H1" s="9"/>
      <c r="I1" s="9"/>
      <c r="J1" s="9"/>
    </row>
    <row r="2" spans="1:10">
      <c r="A2" s="9" t="s">
        <v>4314</v>
      </c>
      <c r="B2">
        <f>AVERAGE('Data 1'!E2:E1201)</f>
        <v>2.9458333333333333</v>
      </c>
      <c r="C2">
        <f>AVERAGE('Data 1'!F2:F1201)</f>
        <v>356.41275000000007</v>
      </c>
      <c r="D2">
        <f>AVERAGE('Data 1'!K2:K1201)</f>
        <v>5.4850000000000003</v>
      </c>
      <c r="E2" s="6">
        <f>AVERAGE('Data 1'!N2:N1201)</f>
        <v>1053.9683000000005</v>
      </c>
      <c r="G2" s="9" t="s">
        <v>4315</v>
      </c>
      <c r="H2" s="9">
        <f>QUARTILE('Data 1'!N2:N1201,1)</f>
        <v>410.52</v>
      </c>
      <c r="I2" s="9"/>
      <c r="J2" s="9"/>
    </row>
    <row r="3" spans="1:10">
      <c r="A3" s="9" t="s">
        <v>4312</v>
      </c>
      <c r="B3">
        <f>MEDIAN('Data 1'!E2:E1201)</f>
        <v>3</v>
      </c>
      <c r="C3">
        <f>MEDIAN('Data 1'!F2:F1201)</f>
        <v>364.21</v>
      </c>
      <c r="D3">
        <f>MEDIAN('Data 1'!K2:K1201)</f>
        <v>5</v>
      </c>
      <c r="E3" s="6">
        <f>MEDIAN('Data 1'!N2:N1201)</f>
        <v>823.61500000000001</v>
      </c>
      <c r="G3" s="9" t="s">
        <v>4313</v>
      </c>
      <c r="H3" s="9">
        <f>QUARTILE('Data 1'!N2:N1201,3)</f>
        <v>1578.4749999999999</v>
      </c>
      <c r="I3" s="9"/>
      <c r="J3" s="9"/>
    </row>
    <row r="4" spans="1:10">
      <c r="A4" s="9" t="s">
        <v>4310</v>
      </c>
      <c r="B4">
        <f>COUNT('Data 1'!E2:E1201)</f>
        <v>1200</v>
      </c>
      <c r="C4">
        <f>COUNT('Data 1'!F2:F1201)</f>
        <v>1200</v>
      </c>
      <c r="D4">
        <f>COUNT('Data 1'!K2:K1201)</f>
        <v>1200</v>
      </c>
      <c r="E4">
        <f>COUNT('Data 1'!N2:N1201)</f>
        <v>1200</v>
      </c>
      <c r="G4" s="9" t="s">
        <v>4311</v>
      </c>
      <c r="H4" s="9">
        <f>H3-H2</f>
        <v>1167.9549999999999</v>
      </c>
      <c r="I4" s="9"/>
      <c r="J4" s="9"/>
    </row>
    <row r="5" spans="1:10">
      <c r="A5" s="9" t="s">
        <v>4308</v>
      </c>
      <c r="B5">
        <f>MAX('Data 1'!E2:E1201)</f>
        <v>5</v>
      </c>
      <c r="C5">
        <f>MAX('Data 1'!F2:F1201)</f>
        <v>699.93</v>
      </c>
      <c r="D5">
        <f>MAX('Data 1'!K2:K1201)</f>
        <v>10</v>
      </c>
      <c r="E5" s="6">
        <f>MAX('Data 1'!N2:N1201)</f>
        <v>3456.4</v>
      </c>
      <c r="G5" s="9" t="s">
        <v>4309</v>
      </c>
      <c r="H5" s="9">
        <f>H2-(1.5*H3)</f>
        <v>-1957.1924999999997</v>
      </c>
      <c r="I5" s="9"/>
      <c r="J5" s="9"/>
    </row>
    <row r="6" spans="1:10">
      <c r="A6" s="9" t="s">
        <v>4306</v>
      </c>
      <c r="B6">
        <f>MIN('Data 1'!E2:E1201)</f>
        <v>1</v>
      </c>
      <c r="C6">
        <f>MIN('Data 1'!F2:F1201)</f>
        <v>11.39</v>
      </c>
      <c r="D6">
        <f>MIN('Data 1'!K2:K1201)</f>
        <v>1</v>
      </c>
      <c r="E6" s="6">
        <f>MIN('Data 1'!N2:N1201)</f>
        <v>11.39</v>
      </c>
      <c r="G6" s="9" t="s">
        <v>4307</v>
      </c>
      <c r="H6" s="9">
        <f>H2+(1.5*H3)</f>
        <v>2778.2324999999996</v>
      </c>
      <c r="I6" s="9"/>
      <c r="J6" s="9"/>
    </row>
    <row r="7" spans="1:10">
      <c r="A7" s="9" t="s">
        <v>4305</v>
      </c>
      <c r="B7">
        <f>STDEV('Data 1'!E2:E1201)</f>
        <v>1.4075570987983175</v>
      </c>
      <c r="C7">
        <f>STDEV('Data 1'!F2:F1201)</f>
        <v>197.17714641491236</v>
      </c>
      <c r="D7">
        <f>STDEV('Data 1'!K2:K1201)</f>
        <v>2.2819833201028645</v>
      </c>
      <c r="E7">
        <f>STDEV('Data 1'!N2:N1201)</f>
        <v>819.85655836464559</v>
      </c>
      <c r="G7" s="9"/>
      <c r="H7" s="9"/>
      <c r="I7" s="9"/>
      <c r="J7" s="9"/>
    </row>
    <row r="8" spans="1:10">
      <c r="G8" s="9"/>
      <c r="H8" s="9"/>
      <c r="I8" s="9"/>
      <c r="J8" s="9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2"/>
  <sheetViews>
    <sheetView topLeftCell="A5" workbookViewId="0">
      <selection activeCell="N11" sqref="N11"/>
    </sheetView>
  </sheetViews>
  <sheetFormatPr defaultRowHeight="15"/>
  <cols>
    <col min="1" max="1" width="13.140625" customWidth="1"/>
    <col min="2" max="2" width="16.5703125" customWidth="1"/>
    <col min="3" max="3" width="16.140625" bestFit="1" customWidth="1"/>
  </cols>
  <sheetData>
    <row r="3" spans="1:3">
      <c r="A3" s="12" t="s">
        <v>4318</v>
      </c>
      <c r="B3" t="s">
        <v>4321</v>
      </c>
      <c r="C3" t="s">
        <v>4322</v>
      </c>
    </row>
    <row r="4" spans="1:3">
      <c r="A4" s="13" t="s">
        <v>2406</v>
      </c>
      <c r="B4" s="7">
        <v>195620.11000000002</v>
      </c>
      <c r="C4" s="7">
        <v>178</v>
      </c>
    </row>
    <row r="5" spans="1:3">
      <c r="A5" s="13" t="s">
        <v>2409</v>
      </c>
      <c r="B5" s="7">
        <v>167459.93</v>
      </c>
      <c r="C5" s="7">
        <v>170</v>
      </c>
    </row>
    <row r="6" spans="1:3">
      <c r="A6" s="13" t="s">
        <v>2408</v>
      </c>
      <c r="B6" s="7">
        <v>192126.55999999994</v>
      </c>
      <c r="C6" s="7">
        <v>173</v>
      </c>
    </row>
    <row r="7" spans="1:3">
      <c r="A7" s="13" t="s">
        <v>2403</v>
      </c>
      <c r="B7" s="7">
        <v>175651.40999999997</v>
      </c>
      <c r="C7" s="7">
        <v>163</v>
      </c>
    </row>
    <row r="8" spans="1:3">
      <c r="A8" s="13" t="s">
        <v>2404</v>
      </c>
      <c r="B8" s="7">
        <v>151722.39000000001</v>
      </c>
      <c r="C8" s="7">
        <v>156</v>
      </c>
    </row>
    <row r="9" spans="1:3">
      <c r="A9" s="13" t="s">
        <v>2407</v>
      </c>
      <c r="B9" s="7">
        <v>195612.60999999996</v>
      </c>
      <c r="C9" s="7">
        <v>181</v>
      </c>
    </row>
    <row r="10" spans="1:3">
      <c r="A10" s="13" t="s">
        <v>2405</v>
      </c>
      <c r="B10" s="7">
        <v>186568.95000000007</v>
      </c>
      <c r="C10" s="7">
        <v>179</v>
      </c>
    </row>
    <row r="11" spans="1:3">
      <c r="A11" s="13" t="s">
        <v>4319</v>
      </c>
      <c r="B11" s="7"/>
      <c r="C11" s="7"/>
    </row>
    <row r="12" spans="1:3">
      <c r="A12" s="13" t="s">
        <v>4320</v>
      </c>
      <c r="B12" s="7">
        <v>1264761.959999999</v>
      </c>
      <c r="C12" s="7">
        <v>1200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9"/>
  <sheetViews>
    <sheetView tabSelected="1" topLeftCell="A6" zoomScale="60" workbookViewId="0">
      <selection activeCell="J23" sqref="J23"/>
    </sheetView>
  </sheetViews>
  <sheetFormatPr defaultRowHeight="15"/>
  <cols>
    <col min="1" max="1" width="13.140625" customWidth="1"/>
    <col min="2" max="2" width="16.5703125" customWidth="1"/>
  </cols>
  <sheetData>
    <row r="3" spans="1:2">
      <c r="A3" s="12" t="s">
        <v>4318</v>
      </c>
      <c r="B3" t="s">
        <v>4321</v>
      </c>
    </row>
    <row r="4" spans="1:2">
      <c r="A4" s="13" t="s">
        <v>4323</v>
      </c>
      <c r="B4" s="7"/>
    </row>
    <row r="5" spans="1:2">
      <c r="A5" s="14" t="s">
        <v>4319</v>
      </c>
      <c r="B5" s="7"/>
    </row>
    <row r="6" spans="1:2">
      <c r="A6" s="13" t="s">
        <v>4324</v>
      </c>
      <c r="B6" s="7"/>
    </row>
    <row r="7" spans="1:2">
      <c r="A7" s="14" t="s">
        <v>4325</v>
      </c>
      <c r="B7" s="7">
        <v>56685.749999999985</v>
      </c>
    </row>
    <row r="8" spans="1:2">
      <c r="A8" s="14" t="s">
        <v>4326</v>
      </c>
      <c r="B8" s="7">
        <v>40117.659999999996</v>
      </c>
    </row>
    <row r="9" spans="1:2">
      <c r="A9" s="14" t="s">
        <v>4327</v>
      </c>
      <c r="B9" s="7">
        <v>48609.37000000001</v>
      </c>
    </row>
    <row r="10" spans="1:2">
      <c r="A10" s="14" t="s">
        <v>4328</v>
      </c>
      <c r="B10" s="7">
        <v>27751.710000000006</v>
      </c>
    </row>
    <row r="11" spans="1:2">
      <c r="A11" s="14" t="s">
        <v>4329</v>
      </c>
      <c r="B11" s="7">
        <v>63836.840000000026</v>
      </c>
    </row>
    <row r="12" spans="1:2">
      <c r="A12" s="14" t="s">
        <v>4330</v>
      </c>
      <c r="B12" s="7">
        <v>49500.19</v>
      </c>
    </row>
    <row r="13" spans="1:2">
      <c r="A13" s="14" t="s">
        <v>4331</v>
      </c>
      <c r="B13" s="7">
        <v>42820.66</v>
      </c>
    </row>
    <row r="14" spans="1:2">
      <c r="A14" s="14" t="s">
        <v>4332</v>
      </c>
      <c r="B14" s="7">
        <v>54352.14</v>
      </c>
    </row>
    <row r="15" spans="1:2">
      <c r="A15" s="14" t="s">
        <v>4333</v>
      </c>
      <c r="B15" s="7">
        <v>29526.67</v>
      </c>
    </row>
    <row r="16" spans="1:2">
      <c r="A16" s="14" t="s">
        <v>4334</v>
      </c>
      <c r="B16" s="7">
        <v>52607.85</v>
      </c>
    </row>
    <row r="17" spans="1:2">
      <c r="A17" s="14" t="s">
        <v>4335</v>
      </c>
      <c r="B17" s="7">
        <v>43079.67</v>
      </c>
    </row>
    <row r="18" spans="1:2">
      <c r="A18" s="14" t="s">
        <v>4336</v>
      </c>
      <c r="B18" s="7">
        <v>43754.729999999981</v>
      </c>
    </row>
    <row r="19" spans="1:2">
      <c r="A19" s="13" t="s">
        <v>4337</v>
      </c>
      <c r="B19" s="7"/>
    </row>
    <row r="20" spans="1:2">
      <c r="A20" s="14" t="s">
        <v>4325</v>
      </c>
      <c r="B20" s="7">
        <v>38528.079999999994</v>
      </c>
    </row>
    <row r="21" spans="1:2">
      <c r="A21" s="14" t="s">
        <v>4326</v>
      </c>
      <c r="B21" s="7">
        <v>36909.570000000014</v>
      </c>
    </row>
    <row r="22" spans="1:2">
      <c r="A22" s="14" t="s">
        <v>4327</v>
      </c>
      <c r="B22" s="7">
        <v>36030.899999999994</v>
      </c>
    </row>
    <row r="23" spans="1:2">
      <c r="A23" s="14" t="s">
        <v>4328</v>
      </c>
      <c r="B23" s="7">
        <v>49613.139999999992</v>
      </c>
    </row>
    <row r="24" spans="1:2">
      <c r="A24" s="14" t="s">
        <v>4329</v>
      </c>
      <c r="B24" s="7">
        <v>27909.110000000004</v>
      </c>
    </row>
    <row r="25" spans="1:2">
      <c r="A25" s="14" t="s">
        <v>4330</v>
      </c>
      <c r="B25" s="7">
        <v>68068.539999999979</v>
      </c>
    </row>
    <row r="26" spans="1:2">
      <c r="A26" s="14" t="s">
        <v>4331</v>
      </c>
      <c r="B26" s="7">
        <v>42963.98</v>
      </c>
    </row>
    <row r="27" spans="1:2">
      <c r="A27" s="14" t="s">
        <v>4332</v>
      </c>
      <c r="B27" s="7">
        <v>31991.07</v>
      </c>
    </row>
    <row r="28" spans="1:2">
      <c r="A28" s="14" t="s">
        <v>4333</v>
      </c>
      <c r="B28" s="7">
        <v>39794.979999999996</v>
      </c>
    </row>
    <row r="29" spans="1:2">
      <c r="A29" s="14" t="s">
        <v>4334</v>
      </c>
      <c r="B29" s="7">
        <v>37226.969999999994</v>
      </c>
    </row>
    <row r="30" spans="1:2">
      <c r="A30" s="14" t="s">
        <v>4335</v>
      </c>
      <c r="B30" s="7">
        <v>32413.760000000006</v>
      </c>
    </row>
    <row r="31" spans="1:2">
      <c r="A31" s="14" t="s">
        <v>4336</v>
      </c>
      <c r="B31" s="7">
        <v>38785.769999999997</v>
      </c>
    </row>
    <row r="32" spans="1:2">
      <c r="A32" s="13" t="s">
        <v>4338</v>
      </c>
      <c r="B32" s="7"/>
    </row>
    <row r="33" spans="1:2">
      <c r="A33" s="14" t="s">
        <v>4325</v>
      </c>
      <c r="B33" s="7">
        <v>29099.399999999998</v>
      </c>
    </row>
    <row r="34" spans="1:2">
      <c r="A34" s="14" t="s">
        <v>4326</v>
      </c>
      <c r="B34" s="7">
        <v>35317.549999999996</v>
      </c>
    </row>
    <row r="35" spans="1:2">
      <c r="A35" s="14" t="s">
        <v>4327</v>
      </c>
      <c r="B35" s="7">
        <v>39200.660000000011</v>
      </c>
    </row>
    <row r="36" spans="1:2">
      <c r="A36" s="14" t="s">
        <v>4328</v>
      </c>
      <c r="B36" s="7">
        <v>31821.200000000001</v>
      </c>
    </row>
    <row r="37" spans="1:2">
      <c r="A37" s="14" t="s">
        <v>4329</v>
      </c>
      <c r="B37" s="7">
        <v>43396.639999999992</v>
      </c>
    </row>
    <row r="38" spans="1:2">
      <c r="A38" s="14" t="s">
        <v>4330</v>
      </c>
      <c r="B38" s="7">
        <v>53047.399999999994</v>
      </c>
    </row>
    <row r="39" spans="1:2">
      <c r="A39" s="13" t="s">
        <v>4320</v>
      </c>
      <c r="B39" s="7">
        <v>1264761.9599999997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N8" sqref="N8"/>
    </sheetView>
  </sheetViews>
  <sheetFormatPr defaultRowHeight="15"/>
  <cols>
    <col min="1" max="1" width="13.140625" customWidth="1"/>
    <col min="2" max="2" width="16.140625" bestFit="1" customWidth="1"/>
  </cols>
  <sheetData>
    <row r="3" spans="1:2">
      <c r="A3" s="12" t="s">
        <v>4318</v>
      </c>
      <c r="B3" t="s">
        <v>4322</v>
      </c>
    </row>
    <row r="4" spans="1:2">
      <c r="A4" s="13" t="s">
        <v>3069</v>
      </c>
      <c r="B4" s="7">
        <v>246</v>
      </c>
    </row>
    <row r="5" spans="1:2">
      <c r="A5" s="13" t="s">
        <v>3067</v>
      </c>
      <c r="B5" s="7">
        <v>234</v>
      </c>
    </row>
    <row r="6" spans="1:2">
      <c r="A6" s="13" t="s">
        <v>3065</v>
      </c>
      <c r="B6" s="7">
        <v>232</v>
      </c>
    </row>
    <row r="7" spans="1:2">
      <c r="A7" s="13" t="s">
        <v>3068</v>
      </c>
      <c r="B7" s="7">
        <v>230</v>
      </c>
    </row>
    <row r="8" spans="1:2">
      <c r="A8" s="13" t="s">
        <v>3066</v>
      </c>
      <c r="B8" s="7">
        <v>258</v>
      </c>
    </row>
    <row r="9" spans="1:2">
      <c r="A9" s="13" t="s">
        <v>4319</v>
      </c>
      <c r="B9" s="7"/>
    </row>
    <row r="10" spans="1:2">
      <c r="A10" s="13" t="s">
        <v>4320</v>
      </c>
      <c r="B10" s="7">
        <v>1200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O9" sqref="O9"/>
    </sheetView>
  </sheetViews>
  <sheetFormatPr defaultRowHeight="15"/>
  <cols>
    <col min="1" max="1" width="13.140625" customWidth="1"/>
    <col min="2" max="2" width="16.140625" bestFit="1" customWidth="1"/>
  </cols>
  <sheetData>
    <row r="3" spans="1:2">
      <c r="A3" s="12" t="s">
        <v>4318</v>
      </c>
      <c r="B3" t="s">
        <v>4322</v>
      </c>
    </row>
    <row r="4" spans="1:2">
      <c r="A4" s="13" t="s">
        <v>3071</v>
      </c>
      <c r="B4" s="7">
        <v>250</v>
      </c>
    </row>
    <row r="5" spans="1:2">
      <c r="A5" s="13" t="s">
        <v>3073</v>
      </c>
      <c r="B5" s="7">
        <v>231</v>
      </c>
    </row>
    <row r="6" spans="1:2">
      <c r="A6" s="13" t="s">
        <v>3074</v>
      </c>
      <c r="B6" s="7">
        <v>237</v>
      </c>
    </row>
    <row r="7" spans="1:2">
      <c r="A7" s="13" t="s">
        <v>3072</v>
      </c>
      <c r="B7" s="7">
        <v>247</v>
      </c>
    </row>
    <row r="8" spans="1:2">
      <c r="A8" s="13" t="s">
        <v>3070</v>
      </c>
      <c r="B8" s="7">
        <v>235</v>
      </c>
    </row>
    <row r="9" spans="1:2">
      <c r="A9" s="13" t="s">
        <v>4319</v>
      </c>
      <c r="B9" s="7"/>
    </row>
    <row r="10" spans="1:2">
      <c r="A10" s="13" t="s">
        <v>4320</v>
      </c>
      <c r="B10" s="7">
        <v>1200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topLeftCell="A3" workbookViewId="0">
      <selection sqref="A1:A2"/>
    </sheetView>
  </sheetViews>
  <sheetFormatPr defaultRowHeight="15"/>
  <cols>
    <col min="1" max="1" width="130" customWidth="1"/>
  </cols>
  <sheetData>
    <row r="1" spans="1:1" ht="30" customHeight="1">
      <c r="A1" s="16" t="s">
        <v>4353</v>
      </c>
    </row>
    <row r="2" spans="1:1">
      <c r="A2" s="17"/>
    </row>
    <row r="3" spans="1:1" ht="18" customHeight="1">
      <c r="A3" s="10" t="s">
        <v>4352</v>
      </c>
    </row>
    <row r="4" spans="1:1" ht="60" customHeight="1">
      <c r="A4" s="15" t="s">
        <v>4351</v>
      </c>
    </row>
    <row r="6" spans="1:1" ht="18" customHeight="1">
      <c r="A6" s="10" t="s">
        <v>4350</v>
      </c>
    </row>
    <row r="7" spans="1:1" ht="60" customHeight="1">
      <c r="A7" s="15" t="s">
        <v>4349</v>
      </c>
    </row>
    <row r="9" spans="1:1" ht="18" customHeight="1">
      <c r="A9" s="10" t="s">
        <v>4348</v>
      </c>
    </row>
    <row r="10" spans="1:1" ht="60" customHeight="1">
      <c r="A10" s="15" t="s">
        <v>4347</v>
      </c>
    </row>
    <row r="12" spans="1:1" ht="18" customHeight="1">
      <c r="A12" s="10" t="s">
        <v>4346</v>
      </c>
    </row>
    <row r="13" spans="1:1" ht="60" customHeight="1">
      <c r="A13" s="15" t="s">
        <v>4345</v>
      </c>
    </row>
    <row r="15" spans="1:1" ht="18" customHeight="1">
      <c r="A15" s="10" t="s">
        <v>4344</v>
      </c>
    </row>
    <row r="16" spans="1:1" ht="60" customHeight="1">
      <c r="A16" s="15" t="s">
        <v>4343</v>
      </c>
    </row>
    <row r="18" spans="1:1" ht="18" customHeight="1">
      <c r="A18" s="10" t="s">
        <v>4342</v>
      </c>
    </row>
    <row r="19" spans="1:1" ht="60" customHeight="1">
      <c r="A19" s="15" t="s">
        <v>4341</v>
      </c>
    </row>
    <row r="21" spans="1:1" ht="18" customHeight="1">
      <c r="A21" s="10" t="s">
        <v>4340</v>
      </c>
    </row>
    <row r="22" spans="1:1" ht="60" customHeight="1">
      <c r="A22" s="15" t="s">
        <v>4339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 1</vt:lpstr>
      <vt:lpstr>Change LogChange ID</vt:lpstr>
      <vt:lpstr>EDA_Statistics</vt:lpstr>
      <vt:lpstr>Pivot_ProductSales</vt:lpstr>
      <vt:lpstr>Pivot_MonthlyTrend</vt:lpstr>
      <vt:lpstr>Pivot_PaymentMethod</vt:lpstr>
      <vt:lpstr>Pivot_OrderStatus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2025-06-21T13:19:12Z</dcterms:created>
  <dcterms:modified xsi:type="dcterms:W3CDTF">2026-08-01T06:21:34Z</dcterms:modified>
</cp:coreProperties>
</file>